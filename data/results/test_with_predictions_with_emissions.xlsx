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81d0bfd414bfaf/01_GitHub/01_Data Science Projects/03_uhpc-concrete-strength-prediction/data/results/"/>
    </mc:Choice>
  </mc:AlternateContent>
  <xr:revisionPtr revIDLastSave="5" documentId="8_{C5CBAE9A-6FBB-4FEB-BBD7-F29871942472}" xr6:coauthVersionLast="47" xr6:coauthVersionMax="47" xr10:uidLastSave="{F4E0EAA9-E9D6-426C-AFA3-54FF633E04A8}"/>
  <bookViews>
    <workbookView xWindow="-28920" yWindow="2025" windowWidth="29040" windowHeight="15720" activeTab="1" xr2:uid="{CF424A4E-F60F-4B0B-A908-563B6331E983}"/>
  </bookViews>
  <sheets>
    <sheet name="test_with_predictions_with_emis" sheetId="1" r:id="rId1"/>
    <sheet name="Emission_Factors" sheetId="2" r:id="rId2"/>
  </sheets>
  <calcPr calcId="0"/>
</workbook>
</file>

<file path=xl/calcChain.xml><?xml version="1.0" encoding="utf-8"?>
<calcChain xmlns="http://schemas.openxmlformats.org/spreadsheetml/2006/main">
  <c r="S160" i="1" l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<sst xmlns="http://schemas.openxmlformats.org/spreadsheetml/2006/main" count="59" uniqueCount="47">
  <si>
    <t>row_id</t>
  </si>
  <si>
    <t>cement</t>
  </si>
  <si>
    <t>slag</t>
  </si>
  <si>
    <t>silica_fume</t>
  </si>
  <si>
    <t>limestone_powder</t>
  </si>
  <si>
    <t>quartz_powder</t>
  </si>
  <si>
    <t>fly_ash</t>
  </si>
  <si>
    <t>nano_silica</t>
  </si>
  <si>
    <t>aggregate</t>
  </si>
  <si>
    <t>water</t>
  </si>
  <si>
    <t>fiber</t>
  </si>
  <si>
    <t>superplasticizer</t>
  </si>
  <si>
    <t>temperature</t>
  </si>
  <si>
    <t>age</t>
  </si>
  <si>
    <t>Actual</t>
  </si>
  <si>
    <t>Predicted</t>
  </si>
  <si>
    <t>Residual</t>
  </si>
  <si>
    <t>CO2_Virgin_Fiber</t>
  </si>
  <si>
    <t>CO2_Recycled_Fiber</t>
  </si>
  <si>
    <t>Material</t>
  </si>
  <si>
    <t>Column</t>
  </si>
  <si>
    <t>Mean_Factor</t>
  </si>
  <si>
    <t>Unit</t>
  </si>
  <si>
    <t>Cement</t>
  </si>
  <si>
    <t>B</t>
  </si>
  <si>
    <t>kg CO2/kg</t>
  </si>
  <si>
    <t>Slag</t>
  </si>
  <si>
    <t>C</t>
  </si>
  <si>
    <t>Silica_Fume</t>
  </si>
  <si>
    <t>D</t>
  </si>
  <si>
    <t>Limestone_Powder</t>
  </si>
  <si>
    <t>E</t>
  </si>
  <si>
    <t>Quartz_Powder</t>
  </si>
  <si>
    <t>F</t>
  </si>
  <si>
    <t>Fly_Ash</t>
  </si>
  <si>
    <t>G</t>
  </si>
  <si>
    <t>Nano_Silica</t>
  </si>
  <si>
    <t>H</t>
  </si>
  <si>
    <t>Aggregate</t>
  </si>
  <si>
    <t>I</t>
  </si>
  <si>
    <t>Water</t>
  </si>
  <si>
    <t>J</t>
  </si>
  <si>
    <t>Fiber_Virgin</t>
  </si>
  <si>
    <t>K</t>
  </si>
  <si>
    <t>Fiber_Recycled</t>
  </si>
  <si>
    <t>Superplasticizer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</si>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</sst>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0" fontId="18" fillId="33" borderId="10" xfId="0" applyFont="1" applyFill="1" applyBorder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C4C4-8F04-4916-966C-7471144EB127}">
  <dimension ref="A1:S160"/>
  <sheetViews>
    <sheetView workbookViewId="0">
      <selection activeCell="R14" sqref="R14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550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1695</v>
      </c>
      <c r="J2">
        <v>192.5</v>
      </c>
      <c r="K2">
        <v>0</v>
      </c>
      <c r="L2">
        <v>1.1000000000000001</v>
      </c>
      <c r="M2">
        <v>21</v>
      </c>
      <c r="N2">
        <v>3</v>
      </c>
      <c r="O2">
        <v>32.5</v>
      </c>
      <c r="P2">
        <v>36.571959999999997</v>
      </c>
      <c r="Q2">
        <v>-4.0719604489999996</v>
      </c>
      <c r="R2" s="4">
        <f>B2*_xlfn.XLOOKUP("Cement",Emission_Factors!$A$2:$A$13,Emission_Factors!$C$2:$C$13)+C2*_xlfn.XLOOKUP("Slag",Emission_Factors!$A$2:$A$13,Emission_Factors!$C$2:$C$13)+D2*_xlfn.XLOOKUP("Silica_Fume",Emission_Factors!$A$2:$A$13,Emission_Factors!$C$2:$C$13)+E2*_xlfn.XLOOKUP("Limestone_Powder",Emission_Factors!$A$2:$A$13,Emission_Factors!$C$2:$C$13)+F2*_xlfn.XLOOKUP("Quartz_Powder",Emission_Factors!$A$2:$A$13,Emission_Factors!$C$2:$C$13)+G2*_xlfn.XLOOKUP("Fly_Ash",Emission_Factors!$A$2:$A$13,Emission_Factors!$C$2:$C$13)+H2*_xlfn.XLOOKUP("Nano_Silica",Emission_Factors!$A$2:$A$13,Emission_Factors!$C$2:$C$13)+I2*_xlfn.XLOOKUP("Aggregate",Emission_Factors!$A$2:$A$13,Emission_Factors!$C$2:$C$13)+J2*_xlfn.XLOOKUP("Water",Emission_Factors!$A$2:$A$13,Emission_Factors!$C$2:$C$13)+K2*_xlfn.XLOOKUP("Fiber_Virgin",Emission_Factors!$A$2:$A$13,Emission_Factors!$C$2:$C$13)+L2*_xlfn.XLOOKUP("Superplasticizer",Emission_Factors!$A$2:$A$13,Emission_Factors!$C$2:$C$13)</f>
        <v>466.05113000000006</v>
      </c>
      <c r="S2" s="4">
        <f>B2*_xlfn.XLOOKUP("Cement",Emission_Factors!$A$2:$A$13,Emission_Factors!$C$2:$C$13)+C2*_xlfn.XLOOKUP("Slag",Emission_Factors!$A$2:$A$13,Emission_Factors!$C$2:$C$13)+D2*_xlfn.XLOOKUP("Silica_Fume",Emission_Factors!$A$2:$A$13,Emission_Factors!$C$2:$C$13)+E2*_xlfn.XLOOKUP("Limestone_Powder",Emission_Factors!$A$2:$A$13,Emission_Factors!$C$2:$C$13)+F2*_xlfn.XLOOKUP("Quartz_Powder",Emission_Factors!$A$2:$A$13,Emission_Factors!$C$2:$C$13)+G2*_xlfn.XLOOKUP("Fly_Ash",Emission_Factors!$A$2:$A$13,Emission_Factors!$C$2:$C$13)+H2*_xlfn.XLOOKUP("Nano_Silica",Emission_Factors!$A$2:$A$13,Emission_Factors!$C$2:$C$13)+I2*_xlfn.XLOOKUP("Aggregate",Emission_Factors!$A$2:$A$13,Emission_Factors!$C$2:$C$13)+J2*_xlfn.XLOOKUP("Water",Emission_Factors!$A$2:$A$13,Emission_Factors!$C$2:$C$13)+K2*_xlfn.XLOOKUP("Fiber_Recycled",Emission_Factors!$A$2:$A$13,Emission_Factors!$C$2:$C$13)+L2*_xlfn.XLOOKUP("Superplasticizer",Emission_Factors!$A$2:$A$13,Emission_Factors!$C$2:$C$13)</f>
        <v>466.05113000000006</v>
      </c>
    </row>
    <row r="3" spans="1:19" x14ac:dyDescent="0.25">
      <c r="A3">
        <v>8</v>
      </c>
      <c r="B3">
        <v>541.75</v>
      </c>
      <c r="C3">
        <v>0</v>
      </c>
      <c r="D3">
        <v>0</v>
      </c>
      <c r="E3">
        <v>0</v>
      </c>
      <c r="F3">
        <v>0</v>
      </c>
      <c r="G3">
        <v>0</v>
      </c>
      <c r="H3">
        <v>8.25</v>
      </c>
      <c r="I3">
        <v>1678</v>
      </c>
      <c r="J3">
        <v>192.5</v>
      </c>
      <c r="K3">
        <v>0</v>
      </c>
      <c r="L3">
        <v>6.6</v>
      </c>
      <c r="M3">
        <v>21</v>
      </c>
      <c r="N3">
        <v>3</v>
      </c>
      <c r="O3">
        <v>39.5</v>
      </c>
      <c r="P3">
        <v>40.089354999999998</v>
      </c>
      <c r="Q3">
        <v>-0.58935546900000002</v>
      </c>
      <c r="R3" s="4">
        <f>B3*_xlfn.XLOOKUP("Cement",Emission_Factors!$A$2:$A$13,Emission_Factors!$C$2:$C$13)+C3*_xlfn.XLOOKUP("Slag",Emission_Factors!$A$2:$A$13,Emission_Factors!$C$2:$C$13)+D3*_xlfn.XLOOKUP("Silica_Fume",Emission_Factors!$A$2:$A$13,Emission_Factors!$C$2:$C$13)+E3*_xlfn.XLOOKUP("Limestone_Powder",Emission_Factors!$A$2:$A$13,Emission_Factors!$C$2:$C$13)+F3*_xlfn.XLOOKUP("Quartz_Powder",Emission_Factors!$A$2:$A$13,Emission_Factors!$C$2:$C$13)+G3*_xlfn.XLOOKUP("Fly_Ash",Emission_Factors!$A$2:$A$13,Emission_Factors!$C$2:$C$13)+H3*_xlfn.XLOOKUP("Nano_Silica",Emission_Factors!$A$2:$A$13,Emission_Factors!$C$2:$C$13)+I3*_xlfn.XLOOKUP("Aggregate",Emission_Factors!$A$2:$A$13,Emission_Factors!$C$2:$C$13)+J3*_xlfn.XLOOKUP("Water",Emission_Factors!$A$2:$A$13,Emission_Factors!$C$2:$C$13)+K3*_xlfn.XLOOKUP("Fiber_Virgin",Emission_Factors!$A$2:$A$13,Emission_Factors!$C$2:$C$13)+L3*_xlfn.XLOOKUP("Superplasticizer",Emission_Factors!$A$2:$A$13,Emission_Factors!$C$2:$C$13)</f>
        <v>476.68562999999995</v>
      </c>
      <c r="S3" s="4">
        <f>B3*_xlfn.XLOOKUP("Cement",Emission_Factors!$A$2:$A$13,Emission_Factors!$C$2:$C$13)+C3*_xlfn.XLOOKUP("Slag",Emission_Factors!$A$2:$A$13,Emission_Factors!$C$2:$C$13)+D3*_xlfn.XLOOKUP("Silica_Fume",Emission_Factors!$A$2:$A$13,Emission_Factors!$C$2:$C$13)+E3*_xlfn.XLOOKUP("Limestone_Powder",Emission_Factors!$A$2:$A$13,Emission_Factors!$C$2:$C$13)+F3*_xlfn.XLOOKUP("Quartz_Powder",Emission_Factors!$A$2:$A$13,Emission_Factors!$C$2:$C$13)+G3*_xlfn.XLOOKUP("Fly_Ash",Emission_Factors!$A$2:$A$13,Emission_Factors!$C$2:$C$13)+H3*_xlfn.XLOOKUP("Nano_Silica",Emission_Factors!$A$2:$A$13,Emission_Factors!$C$2:$C$13)+I3*_xlfn.XLOOKUP("Aggregate",Emission_Factors!$A$2:$A$13,Emission_Factors!$C$2:$C$13)+J3*_xlfn.XLOOKUP("Water",Emission_Factors!$A$2:$A$13,Emission_Factors!$C$2:$C$13)+K3*_xlfn.XLOOKUP("Fiber_Recycled",Emission_Factors!$A$2:$A$13,Emission_Factors!$C$2:$C$13)+L3*_xlfn.XLOOKUP("Superplasticizer",Emission_Factors!$A$2:$A$13,Emission_Factors!$C$2:$C$13)</f>
        <v>476.68562999999995</v>
      </c>
    </row>
    <row r="4" spans="1:19" x14ac:dyDescent="0.25">
      <c r="A4">
        <v>13</v>
      </c>
      <c r="B4">
        <v>545.875</v>
      </c>
      <c r="C4">
        <v>0</v>
      </c>
      <c r="D4">
        <v>0</v>
      </c>
      <c r="E4">
        <v>0</v>
      </c>
      <c r="F4">
        <v>0</v>
      </c>
      <c r="G4">
        <v>0</v>
      </c>
      <c r="H4">
        <v>4.125</v>
      </c>
      <c r="I4">
        <v>1685</v>
      </c>
      <c r="J4">
        <v>192.5</v>
      </c>
      <c r="K4">
        <v>0</v>
      </c>
      <c r="L4">
        <v>4.4000000000000004</v>
      </c>
      <c r="M4">
        <v>21</v>
      </c>
      <c r="N4">
        <v>7</v>
      </c>
      <c r="O4">
        <v>44.9</v>
      </c>
      <c r="P4">
        <v>43.727184000000001</v>
      </c>
      <c r="Q4">
        <v>1.172815704</v>
      </c>
      <c r="R4" s="4">
        <f>B4*_xlfn.XLOOKUP("Cement",Emission_Factors!$A$2:$A$13,Emission_Factors!$C$2:$C$13)+C4*_xlfn.XLOOKUP("Slag",Emission_Factors!$A$2:$A$13,Emission_Factors!$C$2:$C$13)+D4*_xlfn.XLOOKUP("Silica_Fume",Emission_Factors!$A$2:$A$13,Emission_Factors!$C$2:$C$13)+E4*_xlfn.XLOOKUP("Limestone_Powder",Emission_Factors!$A$2:$A$13,Emission_Factors!$C$2:$C$13)+F4*_xlfn.XLOOKUP("Quartz_Powder",Emission_Factors!$A$2:$A$13,Emission_Factors!$C$2:$C$13)+G4*_xlfn.XLOOKUP("Fly_Ash",Emission_Factors!$A$2:$A$13,Emission_Factors!$C$2:$C$13)+H4*_xlfn.XLOOKUP("Nano_Silica",Emission_Factors!$A$2:$A$13,Emission_Factors!$C$2:$C$13)+I4*_xlfn.XLOOKUP("Aggregate",Emission_Factors!$A$2:$A$13,Emission_Factors!$C$2:$C$13)+J4*_xlfn.XLOOKUP("Water",Emission_Factors!$A$2:$A$13,Emission_Factors!$C$2:$C$13)+K4*_xlfn.XLOOKUP("Fiber_Virgin",Emission_Factors!$A$2:$A$13,Emission_Factors!$C$2:$C$13)+L4*_xlfn.XLOOKUP("Superplasticizer",Emission_Factors!$A$2:$A$13,Emission_Factors!$C$2:$C$13)</f>
        <v>471.88007999999996</v>
      </c>
      <c r="S4" s="4">
        <f>B4*_xlfn.XLOOKUP("Cement",Emission_Factors!$A$2:$A$13,Emission_Factors!$C$2:$C$13)+C4*_xlfn.XLOOKUP("Slag",Emission_Factors!$A$2:$A$13,Emission_Factors!$C$2:$C$13)+D4*_xlfn.XLOOKUP("Silica_Fume",Emission_Factors!$A$2:$A$13,Emission_Factors!$C$2:$C$13)+E4*_xlfn.XLOOKUP("Limestone_Powder",Emission_Factors!$A$2:$A$13,Emission_Factors!$C$2:$C$13)+F4*_xlfn.XLOOKUP("Quartz_Powder",Emission_Factors!$A$2:$A$13,Emission_Factors!$C$2:$C$13)+G4*_xlfn.XLOOKUP("Fly_Ash",Emission_Factors!$A$2:$A$13,Emission_Factors!$C$2:$C$13)+H4*_xlfn.XLOOKUP("Nano_Silica",Emission_Factors!$A$2:$A$13,Emission_Factors!$C$2:$C$13)+I4*_xlfn.XLOOKUP("Aggregate",Emission_Factors!$A$2:$A$13,Emission_Factors!$C$2:$C$13)+J4*_xlfn.XLOOKUP("Water",Emission_Factors!$A$2:$A$13,Emission_Factors!$C$2:$C$13)+K4*_xlfn.XLOOKUP("Fiber_Recycled",Emission_Factors!$A$2:$A$13,Emission_Factors!$C$2:$C$13)+L4*_xlfn.XLOOKUP("Superplasticizer",Emission_Factors!$A$2:$A$13,Emission_Factors!$C$2:$C$13)</f>
        <v>471.88007999999996</v>
      </c>
    </row>
    <row r="5" spans="1:19" x14ac:dyDescent="0.25">
      <c r="A5">
        <v>14</v>
      </c>
      <c r="B5">
        <v>550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1762</v>
      </c>
      <c r="J5">
        <v>165</v>
      </c>
      <c r="K5">
        <v>0</v>
      </c>
      <c r="L5">
        <v>3.85</v>
      </c>
      <c r="M5">
        <v>21</v>
      </c>
      <c r="N5">
        <v>3</v>
      </c>
      <c r="O5">
        <v>45</v>
      </c>
      <c r="P5">
        <v>48.577987999999998</v>
      </c>
      <c r="Q5">
        <v>-3.5779876709999998</v>
      </c>
      <c r="R5" s="4">
        <f>B5*_xlfn.XLOOKUP("Cement",Emission_Factors!$A$2:$A$13,Emission_Factors!$C$2:$C$13)+C5*_xlfn.XLOOKUP("Slag",Emission_Factors!$A$2:$A$13,Emission_Factors!$C$2:$C$13)+D5*_xlfn.XLOOKUP("Silica_Fume",Emission_Factors!$A$2:$A$13,Emission_Factors!$C$2:$C$13)+E5*_xlfn.XLOOKUP("Limestone_Powder",Emission_Factors!$A$2:$A$13,Emission_Factors!$C$2:$C$13)+F5*_xlfn.XLOOKUP("Quartz_Powder",Emission_Factors!$A$2:$A$13,Emission_Factors!$C$2:$C$13)+G5*_xlfn.XLOOKUP("Fly_Ash",Emission_Factors!$A$2:$A$13,Emission_Factors!$C$2:$C$13)+H5*_xlfn.XLOOKUP("Nano_Silica",Emission_Factors!$A$2:$A$13,Emission_Factors!$C$2:$C$13)+I5*_xlfn.XLOOKUP("Aggregate",Emission_Factors!$A$2:$A$13,Emission_Factors!$C$2:$C$13)+J5*_xlfn.XLOOKUP("Water",Emission_Factors!$A$2:$A$13,Emission_Factors!$C$2:$C$13)+K5*_xlfn.XLOOKUP("Fiber_Virgin",Emission_Factors!$A$2:$A$13,Emission_Factors!$C$2:$C$13)+L5*_xlfn.XLOOKUP("Superplasticizer",Emission_Factors!$A$2:$A$13,Emission_Factors!$C$2:$C$13)</f>
        <v>468.97674000000001</v>
      </c>
      <c r="S5" s="4">
        <f>B5*_xlfn.XLOOKUP("Cement",Emission_Factors!$A$2:$A$13,Emission_Factors!$C$2:$C$13)+C5*_xlfn.XLOOKUP("Slag",Emission_Factors!$A$2:$A$13,Emission_Factors!$C$2:$C$13)+D5*_xlfn.XLOOKUP("Silica_Fume",Emission_Factors!$A$2:$A$13,Emission_Factors!$C$2:$C$13)+E5*_xlfn.XLOOKUP("Limestone_Powder",Emission_Factors!$A$2:$A$13,Emission_Factors!$C$2:$C$13)+F5*_xlfn.XLOOKUP("Quartz_Powder",Emission_Factors!$A$2:$A$13,Emission_Factors!$C$2:$C$13)+G5*_xlfn.XLOOKUP("Fly_Ash",Emission_Factors!$A$2:$A$13,Emission_Factors!$C$2:$C$13)+H5*_xlfn.XLOOKUP("Nano_Silica",Emission_Factors!$A$2:$A$13,Emission_Factors!$C$2:$C$13)+I5*_xlfn.XLOOKUP("Aggregate",Emission_Factors!$A$2:$A$13,Emission_Factors!$C$2:$C$13)+J5*_xlfn.XLOOKUP("Water",Emission_Factors!$A$2:$A$13,Emission_Factors!$C$2:$C$13)+K5*_xlfn.XLOOKUP("Fiber_Recycled",Emission_Factors!$A$2:$A$13,Emission_Factors!$C$2:$C$13)+L5*_xlfn.XLOOKUP("Superplasticizer",Emission_Factors!$A$2:$A$13,Emission_Factors!$C$2:$C$13)</f>
        <v>468.97674000000001</v>
      </c>
    </row>
    <row r="6" spans="1:19" x14ac:dyDescent="0.25">
      <c r="A6">
        <v>20</v>
      </c>
      <c r="B6">
        <v>852</v>
      </c>
      <c r="C6">
        <v>0</v>
      </c>
      <c r="D6">
        <v>216</v>
      </c>
      <c r="E6">
        <v>0</v>
      </c>
      <c r="F6">
        <v>0</v>
      </c>
      <c r="G6">
        <v>0</v>
      </c>
      <c r="H6">
        <v>10.8</v>
      </c>
      <c r="I6">
        <v>1079</v>
      </c>
      <c r="J6">
        <v>177</v>
      </c>
      <c r="K6">
        <v>0</v>
      </c>
      <c r="L6">
        <v>21.6</v>
      </c>
      <c r="M6">
        <v>23</v>
      </c>
      <c r="N6">
        <v>1</v>
      </c>
      <c r="O6">
        <v>48.2</v>
      </c>
      <c r="P6">
        <v>48.918242999999997</v>
      </c>
      <c r="Q6">
        <v>-0.71824340799999997</v>
      </c>
      <c r="R6" s="4">
        <f>B6*_xlfn.XLOOKUP("Cement",Emission_Factors!$A$2:$A$13,Emission_Factors!$C$2:$C$13)+C6*_xlfn.XLOOKUP("Slag",Emission_Factors!$A$2:$A$13,Emission_Factors!$C$2:$C$13)+D6*_xlfn.XLOOKUP("Silica_Fume",Emission_Factors!$A$2:$A$13,Emission_Factors!$C$2:$C$13)+E6*_xlfn.XLOOKUP("Limestone_Powder",Emission_Factors!$A$2:$A$13,Emission_Factors!$C$2:$C$13)+F6*_xlfn.XLOOKUP("Quartz_Powder",Emission_Factors!$A$2:$A$13,Emission_Factors!$C$2:$C$13)+G6*_xlfn.XLOOKUP("Fly_Ash",Emission_Factors!$A$2:$A$13,Emission_Factors!$C$2:$C$13)+H6*_xlfn.XLOOKUP("Nano_Silica",Emission_Factors!$A$2:$A$13,Emission_Factors!$C$2:$C$13)+I6*_xlfn.XLOOKUP("Aggregate",Emission_Factors!$A$2:$A$13,Emission_Factors!$C$2:$C$13)+J6*_xlfn.XLOOKUP("Water",Emission_Factors!$A$2:$A$13,Emission_Factors!$C$2:$C$13)+K6*_xlfn.XLOOKUP("Fiber_Virgin",Emission_Factors!$A$2:$A$13,Emission_Factors!$C$2:$C$13)+L6*_xlfn.XLOOKUP("Superplasticizer",Emission_Factors!$A$2:$A$13,Emission_Factors!$C$2:$C$13)</f>
        <v>752.20409199999995</v>
      </c>
      <c r="S6" s="4">
        <f>B6*_xlfn.XLOOKUP("Cement",Emission_Factors!$A$2:$A$13,Emission_Factors!$C$2:$C$13)+C6*_xlfn.XLOOKUP("Slag",Emission_Factors!$A$2:$A$13,Emission_Factors!$C$2:$C$13)+D6*_xlfn.XLOOKUP("Silica_Fume",Emission_Factors!$A$2:$A$13,Emission_Factors!$C$2:$C$13)+E6*_xlfn.XLOOKUP("Limestone_Powder",Emission_Factors!$A$2:$A$13,Emission_Factors!$C$2:$C$13)+F6*_xlfn.XLOOKUP("Quartz_Powder",Emission_Factors!$A$2:$A$13,Emission_Factors!$C$2:$C$13)+G6*_xlfn.XLOOKUP("Fly_Ash",Emission_Factors!$A$2:$A$13,Emission_Factors!$C$2:$C$13)+H6*_xlfn.XLOOKUP("Nano_Silica",Emission_Factors!$A$2:$A$13,Emission_Factors!$C$2:$C$13)+I6*_xlfn.XLOOKUP("Aggregate",Emission_Factors!$A$2:$A$13,Emission_Factors!$C$2:$C$13)+J6*_xlfn.XLOOKUP("Water",Emission_Factors!$A$2:$A$13,Emission_Factors!$C$2:$C$13)+K6*_xlfn.XLOOKUP("Fiber_Recycled",Emission_Factors!$A$2:$A$13,Emission_Factors!$C$2:$C$13)+L6*_xlfn.XLOOKUP("Superplasticizer",Emission_Factors!$A$2:$A$13,Emission_Factors!$C$2:$C$13)</f>
        <v>752.20409199999995</v>
      </c>
    </row>
    <row r="7" spans="1:19" x14ac:dyDescent="0.25">
      <c r="A7">
        <v>21</v>
      </c>
      <c r="B7">
        <v>541.75</v>
      </c>
      <c r="C7">
        <v>0</v>
      </c>
      <c r="D7">
        <v>0</v>
      </c>
      <c r="E7">
        <v>0</v>
      </c>
      <c r="F7">
        <v>0</v>
      </c>
      <c r="G7">
        <v>0</v>
      </c>
      <c r="H7">
        <v>8.25</v>
      </c>
      <c r="I7">
        <v>1678</v>
      </c>
      <c r="J7">
        <v>192.5</v>
      </c>
      <c r="K7">
        <v>0</v>
      </c>
      <c r="L7">
        <v>6.6</v>
      </c>
      <c r="M7">
        <v>21</v>
      </c>
      <c r="N7">
        <v>7</v>
      </c>
      <c r="O7">
        <v>49.3</v>
      </c>
      <c r="P7">
        <v>49.602584999999998</v>
      </c>
      <c r="Q7">
        <v>-0.30258483899999999</v>
      </c>
      <c r="R7" s="4">
        <f>B7*_xlfn.XLOOKUP("Cement",Emission_Factors!$A$2:$A$13,Emission_Factors!$C$2:$C$13)+C7*_xlfn.XLOOKUP("Slag",Emission_Factors!$A$2:$A$13,Emission_Factors!$C$2:$C$13)+D7*_xlfn.XLOOKUP("Silica_Fume",Emission_Factors!$A$2:$A$13,Emission_Factors!$C$2:$C$13)+E7*_xlfn.XLOOKUP("Limestone_Powder",Emission_Factors!$A$2:$A$13,Emission_Factors!$C$2:$C$13)+F7*_xlfn.XLOOKUP("Quartz_Powder",Emission_Factors!$A$2:$A$13,Emission_Factors!$C$2:$C$13)+G7*_xlfn.XLOOKUP("Fly_Ash",Emission_Factors!$A$2:$A$13,Emission_Factors!$C$2:$C$13)+H7*_xlfn.XLOOKUP("Nano_Silica",Emission_Factors!$A$2:$A$13,Emission_Factors!$C$2:$C$13)+I7*_xlfn.XLOOKUP("Aggregate",Emission_Factors!$A$2:$A$13,Emission_Factors!$C$2:$C$13)+J7*_xlfn.XLOOKUP("Water",Emission_Factors!$A$2:$A$13,Emission_Factors!$C$2:$C$13)+K7*_xlfn.XLOOKUP("Fiber_Virgin",Emission_Factors!$A$2:$A$13,Emission_Factors!$C$2:$C$13)+L7*_xlfn.XLOOKUP("Superplasticizer",Emission_Factors!$A$2:$A$13,Emission_Factors!$C$2:$C$13)</f>
        <v>476.68562999999995</v>
      </c>
      <c r="S7" s="4">
        <f>B7*_xlfn.XLOOKUP("Cement",Emission_Factors!$A$2:$A$13,Emission_Factors!$C$2:$C$13)+C7*_xlfn.XLOOKUP("Slag",Emission_Factors!$A$2:$A$13,Emission_Factors!$C$2:$C$13)+D7*_xlfn.XLOOKUP("Silica_Fume",Emission_Factors!$A$2:$A$13,Emission_Factors!$C$2:$C$13)+E7*_xlfn.XLOOKUP("Limestone_Powder",Emission_Factors!$A$2:$A$13,Emission_Factors!$C$2:$C$13)+F7*_xlfn.XLOOKUP("Quartz_Powder",Emission_Factors!$A$2:$A$13,Emission_Factors!$C$2:$C$13)+G7*_xlfn.XLOOKUP("Fly_Ash",Emission_Factors!$A$2:$A$13,Emission_Factors!$C$2:$C$13)+H7*_xlfn.XLOOKUP("Nano_Silica",Emission_Factors!$A$2:$A$13,Emission_Factors!$C$2:$C$13)+I7*_xlfn.XLOOKUP("Aggregate",Emission_Factors!$A$2:$A$13,Emission_Factors!$C$2:$C$13)+J7*_xlfn.XLOOKUP("Water",Emission_Factors!$A$2:$A$13,Emission_Factors!$C$2:$C$13)+K7*_xlfn.XLOOKUP("Fiber_Recycled",Emission_Factors!$A$2:$A$13,Emission_Factors!$C$2:$C$13)+L7*_xlfn.XLOOKUP("Superplasticizer",Emission_Factors!$A$2:$A$13,Emission_Factors!$C$2:$C$13)</f>
        <v>476.68562999999995</v>
      </c>
    </row>
    <row r="8" spans="1:19" x14ac:dyDescent="0.25">
      <c r="A8">
        <v>27</v>
      </c>
      <c r="B8">
        <v>545.875</v>
      </c>
      <c r="C8">
        <v>0</v>
      </c>
      <c r="D8">
        <v>0</v>
      </c>
      <c r="E8">
        <v>0</v>
      </c>
      <c r="F8">
        <v>0</v>
      </c>
      <c r="G8">
        <v>0</v>
      </c>
      <c r="H8">
        <v>4.125</v>
      </c>
      <c r="I8">
        <v>1754</v>
      </c>
      <c r="J8">
        <v>165</v>
      </c>
      <c r="K8">
        <v>0</v>
      </c>
      <c r="L8">
        <v>6.6</v>
      </c>
      <c r="M8">
        <v>21</v>
      </c>
      <c r="N8">
        <v>7</v>
      </c>
      <c r="O8">
        <v>52.5</v>
      </c>
      <c r="P8">
        <v>58.147469999999998</v>
      </c>
      <c r="Q8">
        <v>-5.6474685669999998</v>
      </c>
      <c r="R8" s="4">
        <f>B8*_xlfn.XLOOKUP("Cement",Emission_Factors!$A$2:$A$13,Emission_Factors!$C$2:$C$13)+C8*_xlfn.XLOOKUP("Slag",Emission_Factors!$A$2:$A$13,Emission_Factors!$C$2:$C$13)+D8*_xlfn.XLOOKUP("Silica_Fume",Emission_Factors!$A$2:$A$13,Emission_Factors!$C$2:$C$13)+E8*_xlfn.XLOOKUP("Limestone_Powder",Emission_Factors!$A$2:$A$13,Emission_Factors!$C$2:$C$13)+F8*_xlfn.XLOOKUP("Quartz_Powder",Emission_Factors!$A$2:$A$13,Emission_Factors!$C$2:$C$13)+G8*_xlfn.XLOOKUP("Fly_Ash",Emission_Factors!$A$2:$A$13,Emission_Factors!$C$2:$C$13)+H8*_xlfn.XLOOKUP("Nano_Silica",Emission_Factors!$A$2:$A$13,Emission_Factors!$C$2:$C$13)+I8*_xlfn.XLOOKUP("Aggregate",Emission_Factors!$A$2:$A$13,Emission_Factors!$C$2:$C$13)+J8*_xlfn.XLOOKUP("Water",Emission_Factors!$A$2:$A$13,Emission_Factors!$C$2:$C$13)+K8*_xlfn.XLOOKUP("Fiber_Virgin",Emission_Factors!$A$2:$A$13,Emission_Factors!$C$2:$C$13)+L8*_xlfn.XLOOKUP("Superplasticizer",Emission_Factors!$A$2:$A$13,Emission_Factors!$C$2:$C$13)</f>
        <v>474.29648999999989</v>
      </c>
      <c r="S8" s="4">
        <f>B8*_xlfn.XLOOKUP("Cement",Emission_Factors!$A$2:$A$13,Emission_Factors!$C$2:$C$13)+C8*_xlfn.XLOOKUP("Slag",Emission_Factors!$A$2:$A$13,Emission_Factors!$C$2:$C$13)+D8*_xlfn.XLOOKUP("Silica_Fume",Emission_Factors!$A$2:$A$13,Emission_Factors!$C$2:$C$13)+E8*_xlfn.XLOOKUP("Limestone_Powder",Emission_Factors!$A$2:$A$13,Emission_Factors!$C$2:$C$13)+F8*_xlfn.XLOOKUP("Quartz_Powder",Emission_Factors!$A$2:$A$13,Emission_Factors!$C$2:$C$13)+G8*_xlfn.XLOOKUP("Fly_Ash",Emission_Factors!$A$2:$A$13,Emission_Factors!$C$2:$C$13)+H8*_xlfn.XLOOKUP("Nano_Silica",Emission_Factors!$A$2:$A$13,Emission_Factors!$C$2:$C$13)+I8*_xlfn.XLOOKUP("Aggregate",Emission_Factors!$A$2:$A$13,Emission_Factors!$C$2:$C$13)+J8*_xlfn.XLOOKUP("Water",Emission_Factors!$A$2:$A$13,Emission_Factors!$C$2:$C$13)+K8*_xlfn.XLOOKUP("Fiber_Recycled",Emission_Factors!$A$2:$A$13,Emission_Factors!$C$2:$C$13)+L8*_xlfn.XLOOKUP("Superplasticizer",Emission_Factors!$A$2:$A$13,Emission_Factors!$C$2:$C$13)</f>
        <v>474.29648999999989</v>
      </c>
    </row>
    <row r="9" spans="1:19" x14ac:dyDescent="0.25">
      <c r="A9">
        <v>34</v>
      </c>
      <c r="B9">
        <v>841.6</v>
      </c>
      <c r="C9">
        <v>0</v>
      </c>
      <c r="D9">
        <v>215.8</v>
      </c>
      <c r="E9">
        <v>0</v>
      </c>
      <c r="F9">
        <v>0</v>
      </c>
      <c r="G9">
        <v>0</v>
      </c>
      <c r="H9">
        <v>21.6</v>
      </c>
      <c r="I9">
        <v>1079</v>
      </c>
      <c r="J9">
        <v>177</v>
      </c>
      <c r="K9">
        <v>0</v>
      </c>
      <c r="L9">
        <v>21.6</v>
      </c>
      <c r="M9">
        <v>20</v>
      </c>
      <c r="N9">
        <v>1</v>
      </c>
      <c r="O9">
        <v>53.1</v>
      </c>
      <c r="P9">
        <v>52.192078000000002</v>
      </c>
      <c r="Q9">
        <v>0.90792236299999995</v>
      </c>
      <c r="R9" s="4">
        <f>B9*_xlfn.XLOOKUP("Cement",Emission_Factors!$A$2:$A$13,Emission_Factors!$C$2:$C$13)+C9*_xlfn.XLOOKUP("Slag",Emission_Factors!$A$2:$A$13,Emission_Factors!$C$2:$C$13)+D9*_xlfn.XLOOKUP("Silica_Fume",Emission_Factors!$A$2:$A$13,Emission_Factors!$C$2:$C$13)+E9*_xlfn.XLOOKUP("Limestone_Powder",Emission_Factors!$A$2:$A$13,Emission_Factors!$C$2:$C$13)+F9*_xlfn.XLOOKUP("Quartz_Powder",Emission_Factors!$A$2:$A$13,Emission_Factors!$C$2:$C$13)+G9*_xlfn.XLOOKUP("Fly_Ash",Emission_Factors!$A$2:$A$13,Emission_Factors!$C$2:$C$13)+H9*_xlfn.XLOOKUP("Nano_Silica",Emission_Factors!$A$2:$A$13,Emission_Factors!$C$2:$C$13)+I9*_xlfn.XLOOKUP("Aggregate",Emission_Factors!$A$2:$A$13,Emission_Factors!$C$2:$C$13)+J9*_xlfn.XLOOKUP("Water",Emission_Factors!$A$2:$A$13,Emission_Factors!$C$2:$C$13)+K9*_xlfn.XLOOKUP("Fiber_Virgin",Emission_Factors!$A$2:$A$13,Emission_Factors!$C$2:$C$13)+L9*_xlfn.XLOOKUP("Superplasticizer",Emission_Factors!$A$2:$A$13,Emission_Factors!$C$2:$C$13)</f>
        <v>759.76929199999995</v>
      </c>
      <c r="S9" s="4">
        <f>B9*_xlfn.XLOOKUP("Cement",Emission_Factors!$A$2:$A$13,Emission_Factors!$C$2:$C$13)+C9*_xlfn.XLOOKUP("Slag",Emission_Factors!$A$2:$A$13,Emission_Factors!$C$2:$C$13)+D9*_xlfn.XLOOKUP("Silica_Fume",Emission_Factors!$A$2:$A$13,Emission_Factors!$C$2:$C$13)+E9*_xlfn.XLOOKUP("Limestone_Powder",Emission_Factors!$A$2:$A$13,Emission_Factors!$C$2:$C$13)+F9*_xlfn.XLOOKUP("Quartz_Powder",Emission_Factors!$A$2:$A$13,Emission_Factors!$C$2:$C$13)+G9*_xlfn.XLOOKUP("Fly_Ash",Emission_Factors!$A$2:$A$13,Emission_Factors!$C$2:$C$13)+H9*_xlfn.XLOOKUP("Nano_Silica",Emission_Factors!$A$2:$A$13,Emission_Factors!$C$2:$C$13)+I9*_xlfn.XLOOKUP("Aggregate",Emission_Factors!$A$2:$A$13,Emission_Factors!$C$2:$C$13)+J9*_xlfn.XLOOKUP("Water",Emission_Factors!$A$2:$A$13,Emission_Factors!$C$2:$C$13)+K9*_xlfn.XLOOKUP("Fiber_Recycled",Emission_Factors!$A$2:$A$13,Emission_Factors!$C$2:$C$13)+L9*_xlfn.XLOOKUP("Superplasticizer",Emission_Factors!$A$2:$A$13,Emission_Factors!$C$2:$C$13)</f>
        <v>759.76929199999995</v>
      </c>
    </row>
    <row r="10" spans="1:19" x14ac:dyDescent="0.25">
      <c r="A10">
        <v>32</v>
      </c>
      <c r="B10">
        <v>541.75</v>
      </c>
      <c r="C10">
        <v>0</v>
      </c>
      <c r="D10">
        <v>0</v>
      </c>
      <c r="E10">
        <v>0</v>
      </c>
      <c r="F10">
        <v>0</v>
      </c>
      <c r="G10">
        <v>0</v>
      </c>
      <c r="H10">
        <v>8.25</v>
      </c>
      <c r="I10">
        <v>1812</v>
      </c>
      <c r="J10">
        <v>137.5</v>
      </c>
      <c r="K10">
        <v>0</v>
      </c>
      <c r="L10">
        <v>12.65</v>
      </c>
      <c r="M10">
        <v>21</v>
      </c>
      <c r="N10">
        <v>3</v>
      </c>
      <c r="O10">
        <v>53.1</v>
      </c>
      <c r="P10">
        <v>62.069473000000002</v>
      </c>
      <c r="Q10">
        <v>-8.9694732669999997</v>
      </c>
      <c r="R10" s="4">
        <f>B10*_xlfn.XLOOKUP("Cement",Emission_Factors!$A$2:$A$13,Emission_Factors!$C$2:$C$13)+C10*_xlfn.XLOOKUP("Slag",Emission_Factors!$A$2:$A$13,Emission_Factors!$C$2:$C$13)+D10*_xlfn.XLOOKUP("Silica_Fume",Emission_Factors!$A$2:$A$13,Emission_Factors!$C$2:$C$13)+E10*_xlfn.XLOOKUP("Limestone_Powder",Emission_Factors!$A$2:$A$13,Emission_Factors!$C$2:$C$13)+F10*_xlfn.XLOOKUP("Quartz_Powder",Emission_Factors!$A$2:$A$13,Emission_Factors!$C$2:$C$13)+G10*_xlfn.XLOOKUP("Fly_Ash",Emission_Factors!$A$2:$A$13,Emission_Factors!$C$2:$C$13)+H10*_xlfn.XLOOKUP("Nano_Silica",Emission_Factors!$A$2:$A$13,Emission_Factors!$C$2:$C$13)+I10*_xlfn.XLOOKUP("Aggregate",Emission_Factors!$A$2:$A$13,Emission_Factors!$C$2:$C$13)+J10*_xlfn.XLOOKUP("Water",Emission_Factors!$A$2:$A$13,Emission_Factors!$C$2:$C$13)+K10*_xlfn.XLOOKUP("Fiber_Virgin",Emission_Factors!$A$2:$A$13,Emission_Factors!$C$2:$C$13)+L10*_xlfn.XLOOKUP("Superplasticizer",Emission_Factors!$A$2:$A$13,Emission_Factors!$C$2:$C$13)</f>
        <v>483.05604999999997</v>
      </c>
      <c r="S10" s="4">
        <f>B10*_xlfn.XLOOKUP("Cement",Emission_Factors!$A$2:$A$13,Emission_Factors!$C$2:$C$13)+C10*_xlfn.XLOOKUP("Slag",Emission_Factors!$A$2:$A$13,Emission_Factors!$C$2:$C$13)+D10*_xlfn.XLOOKUP("Silica_Fume",Emission_Factors!$A$2:$A$13,Emission_Factors!$C$2:$C$13)+E10*_xlfn.XLOOKUP("Limestone_Powder",Emission_Factors!$A$2:$A$13,Emission_Factors!$C$2:$C$13)+F10*_xlfn.XLOOKUP("Quartz_Powder",Emission_Factors!$A$2:$A$13,Emission_Factors!$C$2:$C$13)+G10*_xlfn.XLOOKUP("Fly_Ash",Emission_Factors!$A$2:$A$13,Emission_Factors!$C$2:$C$13)+H10*_xlfn.XLOOKUP("Nano_Silica",Emission_Factors!$A$2:$A$13,Emission_Factors!$C$2:$C$13)+I10*_xlfn.XLOOKUP("Aggregate",Emission_Factors!$A$2:$A$13,Emission_Factors!$C$2:$C$13)+J10*_xlfn.XLOOKUP("Water",Emission_Factors!$A$2:$A$13,Emission_Factors!$C$2:$C$13)+K10*_xlfn.XLOOKUP("Fiber_Recycled",Emission_Factors!$A$2:$A$13,Emission_Factors!$C$2:$C$13)+L10*_xlfn.XLOOKUP("Superplasticizer",Emission_Factors!$A$2:$A$13,Emission_Factors!$C$2:$C$13)</f>
        <v>483.05604999999997</v>
      </c>
    </row>
    <row r="11" spans="1:19" x14ac:dyDescent="0.25">
      <c r="A11">
        <v>40</v>
      </c>
      <c r="B11">
        <v>430.7</v>
      </c>
      <c r="C11">
        <v>0</v>
      </c>
      <c r="D11">
        <v>0</v>
      </c>
      <c r="E11">
        <v>263.7</v>
      </c>
      <c r="F11">
        <v>175.9</v>
      </c>
      <c r="G11">
        <v>0</v>
      </c>
      <c r="H11">
        <v>8.8000000000000007</v>
      </c>
      <c r="I11">
        <v>1273.4000000000001</v>
      </c>
      <c r="J11">
        <v>175.8</v>
      </c>
      <c r="K11">
        <v>0</v>
      </c>
      <c r="L11">
        <v>43.9</v>
      </c>
      <c r="M11">
        <v>21</v>
      </c>
      <c r="N11">
        <v>3</v>
      </c>
      <c r="O11">
        <v>54.96</v>
      </c>
      <c r="P11">
        <v>54.860084999999998</v>
      </c>
      <c r="Q11">
        <v>9.9915465999999994E-2</v>
      </c>
      <c r="R11" s="4">
        <f>B11*_xlfn.XLOOKUP("Cement",Emission_Factors!$A$2:$A$13,Emission_Factors!$C$2:$C$13)+C11*_xlfn.XLOOKUP("Slag",Emission_Factors!$A$2:$A$13,Emission_Factors!$C$2:$C$13)+D11*_xlfn.XLOOKUP("Silica_Fume",Emission_Factors!$A$2:$A$13,Emission_Factors!$C$2:$C$13)+E11*_xlfn.XLOOKUP("Limestone_Powder",Emission_Factors!$A$2:$A$13,Emission_Factors!$C$2:$C$13)+F11*_xlfn.XLOOKUP("Quartz_Powder",Emission_Factors!$A$2:$A$13,Emission_Factors!$C$2:$C$13)+G11*_xlfn.XLOOKUP("Fly_Ash",Emission_Factors!$A$2:$A$13,Emission_Factors!$C$2:$C$13)+H11*_xlfn.XLOOKUP("Nano_Silica",Emission_Factors!$A$2:$A$13,Emission_Factors!$C$2:$C$13)+I11*_xlfn.XLOOKUP("Aggregate",Emission_Factors!$A$2:$A$13,Emission_Factors!$C$2:$C$13)+J11*_xlfn.XLOOKUP("Water",Emission_Factors!$A$2:$A$13,Emission_Factors!$C$2:$C$13)+K11*_xlfn.XLOOKUP("Fiber_Virgin",Emission_Factors!$A$2:$A$13,Emission_Factors!$C$2:$C$13)+L11*_xlfn.XLOOKUP("Superplasticizer",Emission_Factors!$A$2:$A$13,Emission_Factors!$C$2:$C$13)</f>
        <v>427.17578679999997</v>
      </c>
      <c r="S11" s="4">
        <f>B11*_xlfn.XLOOKUP("Cement",Emission_Factors!$A$2:$A$13,Emission_Factors!$C$2:$C$13)+C11*_xlfn.XLOOKUP("Slag",Emission_Factors!$A$2:$A$13,Emission_Factors!$C$2:$C$13)+D11*_xlfn.XLOOKUP("Silica_Fume",Emission_Factors!$A$2:$A$13,Emission_Factors!$C$2:$C$13)+E11*_xlfn.XLOOKUP("Limestone_Powder",Emission_Factors!$A$2:$A$13,Emission_Factors!$C$2:$C$13)+F11*_xlfn.XLOOKUP("Quartz_Powder",Emission_Factors!$A$2:$A$13,Emission_Factors!$C$2:$C$13)+G11*_xlfn.XLOOKUP("Fly_Ash",Emission_Factors!$A$2:$A$13,Emission_Factors!$C$2:$C$13)+H11*_xlfn.XLOOKUP("Nano_Silica",Emission_Factors!$A$2:$A$13,Emission_Factors!$C$2:$C$13)+I11*_xlfn.XLOOKUP("Aggregate",Emission_Factors!$A$2:$A$13,Emission_Factors!$C$2:$C$13)+J11*_xlfn.XLOOKUP("Water",Emission_Factors!$A$2:$A$13,Emission_Factors!$C$2:$C$13)+K11*_xlfn.XLOOKUP("Fiber_Recycled",Emission_Factors!$A$2:$A$13,Emission_Factors!$C$2:$C$13)+L11*_xlfn.XLOOKUP("Superplasticizer",Emission_Factors!$A$2:$A$13,Emission_Factors!$C$2:$C$13)</f>
        <v>427.17578679999997</v>
      </c>
    </row>
    <row r="12" spans="1:19" x14ac:dyDescent="0.25">
      <c r="A12">
        <v>47</v>
      </c>
      <c r="B12">
        <v>550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1762</v>
      </c>
      <c r="J12">
        <v>165</v>
      </c>
      <c r="K12">
        <v>0</v>
      </c>
      <c r="L12">
        <v>3.85</v>
      </c>
      <c r="M12">
        <v>21</v>
      </c>
      <c r="N12">
        <v>7</v>
      </c>
      <c r="O12">
        <v>57.2</v>
      </c>
      <c r="P12">
        <v>56.92998</v>
      </c>
      <c r="Q12">
        <v>0.27001876800000002</v>
      </c>
      <c r="R12" s="4">
        <f>B12*_xlfn.XLOOKUP("Cement",Emission_Factors!$A$2:$A$13,Emission_Factors!$C$2:$C$13)+C12*_xlfn.XLOOKUP("Slag",Emission_Factors!$A$2:$A$13,Emission_Factors!$C$2:$C$13)+D12*_xlfn.XLOOKUP("Silica_Fume",Emission_Factors!$A$2:$A$13,Emission_Factors!$C$2:$C$13)+E12*_xlfn.XLOOKUP("Limestone_Powder",Emission_Factors!$A$2:$A$13,Emission_Factors!$C$2:$C$13)+F12*_xlfn.XLOOKUP("Quartz_Powder",Emission_Factors!$A$2:$A$13,Emission_Factors!$C$2:$C$13)+G12*_xlfn.XLOOKUP("Fly_Ash",Emission_Factors!$A$2:$A$13,Emission_Factors!$C$2:$C$13)+H12*_xlfn.XLOOKUP("Nano_Silica",Emission_Factors!$A$2:$A$13,Emission_Factors!$C$2:$C$13)+I12*_xlfn.XLOOKUP("Aggregate",Emission_Factors!$A$2:$A$13,Emission_Factors!$C$2:$C$13)+J12*_xlfn.XLOOKUP("Water",Emission_Factors!$A$2:$A$13,Emission_Factors!$C$2:$C$13)+K12*_xlfn.XLOOKUP("Fiber_Virgin",Emission_Factors!$A$2:$A$13,Emission_Factors!$C$2:$C$13)+L12*_xlfn.XLOOKUP("Superplasticizer",Emission_Factors!$A$2:$A$13,Emission_Factors!$C$2:$C$13)</f>
        <v>468.97674000000001</v>
      </c>
      <c r="S12" s="4">
        <f>B12*_xlfn.XLOOKUP("Cement",Emission_Factors!$A$2:$A$13,Emission_Factors!$C$2:$C$13)+C12*_xlfn.XLOOKUP("Slag",Emission_Factors!$A$2:$A$13,Emission_Factors!$C$2:$C$13)+D12*_xlfn.XLOOKUP("Silica_Fume",Emission_Factors!$A$2:$A$13,Emission_Factors!$C$2:$C$13)+E12*_xlfn.XLOOKUP("Limestone_Powder",Emission_Factors!$A$2:$A$13,Emission_Factors!$C$2:$C$13)+F12*_xlfn.XLOOKUP("Quartz_Powder",Emission_Factors!$A$2:$A$13,Emission_Factors!$C$2:$C$13)+G12*_xlfn.XLOOKUP("Fly_Ash",Emission_Factors!$A$2:$A$13,Emission_Factors!$C$2:$C$13)+H12*_xlfn.XLOOKUP("Nano_Silica",Emission_Factors!$A$2:$A$13,Emission_Factors!$C$2:$C$13)+I12*_xlfn.XLOOKUP("Aggregate",Emission_Factors!$A$2:$A$13,Emission_Factors!$C$2:$C$13)+J12*_xlfn.XLOOKUP("Water",Emission_Factors!$A$2:$A$13,Emission_Factors!$C$2:$C$13)+K12*_xlfn.XLOOKUP("Fiber_Recycled",Emission_Factors!$A$2:$A$13,Emission_Factors!$C$2:$C$13)+L12*_xlfn.XLOOKUP("Superplasticizer",Emission_Factors!$A$2:$A$13,Emission_Factors!$C$2:$C$13)</f>
        <v>468.97674000000001</v>
      </c>
    </row>
    <row r="13" spans="1:19" x14ac:dyDescent="0.25">
      <c r="A13">
        <v>52</v>
      </c>
      <c r="B13">
        <v>550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1830</v>
      </c>
      <c r="J13">
        <v>137.5</v>
      </c>
      <c r="K13">
        <v>0</v>
      </c>
      <c r="L13">
        <v>6.6</v>
      </c>
      <c r="M13">
        <v>21</v>
      </c>
      <c r="N13">
        <v>3</v>
      </c>
      <c r="O13">
        <v>58.9</v>
      </c>
      <c r="P13">
        <v>56.198546999999998</v>
      </c>
      <c r="Q13">
        <v>2.701452637</v>
      </c>
      <c r="R13" s="4">
        <f>B13*_xlfn.XLOOKUP("Cement",Emission_Factors!$A$2:$A$13,Emission_Factors!$C$2:$C$13)+C13*_xlfn.XLOOKUP("Slag",Emission_Factors!$A$2:$A$13,Emission_Factors!$C$2:$C$13)+D13*_xlfn.XLOOKUP("Silica_Fume",Emission_Factors!$A$2:$A$13,Emission_Factors!$C$2:$C$13)+E13*_xlfn.XLOOKUP("Limestone_Powder",Emission_Factors!$A$2:$A$13,Emission_Factors!$C$2:$C$13)+F13*_xlfn.XLOOKUP("Quartz_Powder",Emission_Factors!$A$2:$A$13,Emission_Factors!$C$2:$C$13)+G13*_xlfn.XLOOKUP("Fly_Ash",Emission_Factors!$A$2:$A$13,Emission_Factors!$C$2:$C$13)+H13*_xlfn.XLOOKUP("Nano_Silica",Emission_Factors!$A$2:$A$13,Emission_Factors!$C$2:$C$13)+I13*_xlfn.XLOOKUP("Aggregate",Emission_Factors!$A$2:$A$13,Emission_Factors!$C$2:$C$13)+J13*_xlfn.XLOOKUP("Water",Emission_Factors!$A$2:$A$13,Emission_Factors!$C$2:$C$13)+K13*_xlfn.XLOOKUP("Fiber_Virgin",Emission_Factors!$A$2:$A$13,Emission_Factors!$C$2:$C$13)+L13*_xlfn.XLOOKUP("Superplasticizer",Emission_Factors!$A$2:$A$13,Emission_Factors!$C$2:$C$13)</f>
        <v>471.90734999999995</v>
      </c>
      <c r="S13" s="4">
        <f>B13*_xlfn.XLOOKUP("Cement",Emission_Factors!$A$2:$A$13,Emission_Factors!$C$2:$C$13)+C13*_xlfn.XLOOKUP("Slag",Emission_Factors!$A$2:$A$13,Emission_Factors!$C$2:$C$13)+D13*_xlfn.XLOOKUP("Silica_Fume",Emission_Factors!$A$2:$A$13,Emission_Factors!$C$2:$C$13)+E13*_xlfn.XLOOKUP("Limestone_Powder",Emission_Factors!$A$2:$A$13,Emission_Factors!$C$2:$C$13)+F13*_xlfn.XLOOKUP("Quartz_Powder",Emission_Factors!$A$2:$A$13,Emission_Factors!$C$2:$C$13)+G13*_xlfn.XLOOKUP("Fly_Ash",Emission_Factors!$A$2:$A$13,Emission_Factors!$C$2:$C$13)+H13*_xlfn.XLOOKUP("Nano_Silica",Emission_Factors!$A$2:$A$13,Emission_Factors!$C$2:$C$13)+I13*_xlfn.XLOOKUP("Aggregate",Emission_Factors!$A$2:$A$13,Emission_Factors!$C$2:$C$13)+J13*_xlfn.XLOOKUP("Water",Emission_Factors!$A$2:$A$13,Emission_Factors!$C$2:$C$13)+K13*_xlfn.XLOOKUP("Fiber_Recycled",Emission_Factors!$A$2:$A$13,Emission_Factors!$C$2:$C$13)+L13*_xlfn.XLOOKUP("Superplasticizer",Emission_Factors!$A$2:$A$13,Emission_Factors!$C$2:$C$13)</f>
        <v>471.90734999999995</v>
      </c>
    </row>
    <row r="14" spans="1:19" x14ac:dyDescent="0.25">
      <c r="A14">
        <v>58</v>
      </c>
      <c r="B14">
        <v>525</v>
      </c>
      <c r="C14">
        <v>225</v>
      </c>
      <c r="D14">
        <v>144</v>
      </c>
      <c r="E14">
        <v>0</v>
      </c>
      <c r="F14">
        <v>0</v>
      </c>
      <c r="G14">
        <v>200</v>
      </c>
      <c r="H14">
        <v>0</v>
      </c>
      <c r="I14">
        <v>990</v>
      </c>
      <c r="J14">
        <v>182</v>
      </c>
      <c r="K14">
        <v>0</v>
      </c>
      <c r="L14">
        <v>36</v>
      </c>
      <c r="M14">
        <v>20</v>
      </c>
      <c r="N14">
        <v>3</v>
      </c>
      <c r="O14">
        <v>60.7</v>
      </c>
      <c r="P14">
        <v>54.093013999999997</v>
      </c>
      <c r="Q14">
        <v>6.6069862370000001</v>
      </c>
      <c r="R14" s="4">
        <f>B14*_xlfn.XLOOKUP("Cement",Emission_Factors!$A$2:$A$13,Emission_Factors!$C$2:$C$13)+C14*_xlfn.XLOOKUP("Slag",Emission_Factors!$A$2:$A$13,Emission_Factors!$C$2:$C$13)+D14*_xlfn.XLOOKUP("Silica_Fume",Emission_Factors!$A$2:$A$13,Emission_Factors!$C$2:$C$13)+E14*_xlfn.XLOOKUP("Limestone_Powder",Emission_Factors!$A$2:$A$13,Emission_Factors!$C$2:$C$13)+F14*_xlfn.XLOOKUP("Quartz_Powder",Emission_Factors!$A$2:$A$13,Emission_Factors!$C$2:$C$13)+G14*_xlfn.XLOOKUP("Fly_Ash",Emission_Factors!$A$2:$A$13,Emission_Factors!$C$2:$C$13)+H14*_xlfn.XLOOKUP("Nano_Silica",Emission_Factors!$A$2:$A$13,Emission_Factors!$C$2:$C$13)+I14*_xlfn.XLOOKUP("Aggregate",Emission_Factors!$A$2:$A$13,Emission_Factors!$C$2:$C$13)+J14*_xlfn.XLOOKUP("Water",Emission_Factors!$A$2:$A$13,Emission_Factors!$C$2:$C$13)+K14*_xlfn.XLOOKUP("Fiber_Virgin",Emission_Factors!$A$2:$A$13,Emission_Factors!$C$2:$C$13)+L14*_xlfn.XLOOKUP("Superplasticizer",Emission_Factors!$A$2:$A$13,Emission_Factors!$C$2:$C$13)</f>
        <v>490.23567199999997</v>
      </c>
      <c r="S14" s="4">
        <f>B14*_xlfn.XLOOKUP("Cement",Emission_Factors!$A$2:$A$13,Emission_Factors!$C$2:$C$13)+C14*_xlfn.XLOOKUP("Slag",Emission_Factors!$A$2:$A$13,Emission_Factors!$C$2:$C$13)+D14*_xlfn.XLOOKUP("Silica_Fume",Emission_Factors!$A$2:$A$13,Emission_Factors!$C$2:$C$13)+E14*_xlfn.XLOOKUP("Limestone_Powder",Emission_Factors!$A$2:$A$13,Emission_Factors!$C$2:$C$13)+F14*_xlfn.XLOOKUP("Quartz_Powder",Emission_Factors!$A$2:$A$13,Emission_Factors!$C$2:$C$13)+G14*_xlfn.XLOOKUP("Fly_Ash",Emission_Factors!$A$2:$A$13,Emission_Factors!$C$2:$C$13)+H14*_xlfn.XLOOKUP("Nano_Silica",Emission_Factors!$A$2:$A$13,Emission_Factors!$C$2:$C$13)+I14*_xlfn.XLOOKUP("Aggregate",Emission_Factors!$A$2:$A$13,Emission_Factors!$C$2:$C$13)+J14*_xlfn.XLOOKUP("Water",Emission_Factors!$A$2:$A$13,Emission_Factors!$C$2:$C$13)+K14*_xlfn.XLOOKUP("Fiber_Recycled",Emission_Factors!$A$2:$A$13,Emission_Factors!$C$2:$C$13)+L14*_xlfn.XLOOKUP("Superplasticizer",Emission_Factors!$A$2:$A$13,Emission_Factors!$C$2:$C$13)</f>
        <v>490.23567199999997</v>
      </c>
    </row>
    <row r="15" spans="1:19" x14ac:dyDescent="0.25">
      <c r="A15">
        <v>61</v>
      </c>
      <c r="B15">
        <v>541.75</v>
      </c>
      <c r="C15">
        <v>0</v>
      </c>
      <c r="D15">
        <v>0</v>
      </c>
      <c r="E15">
        <v>0</v>
      </c>
      <c r="F15">
        <v>0</v>
      </c>
      <c r="G15">
        <v>0</v>
      </c>
      <c r="H15">
        <v>8.25</v>
      </c>
      <c r="I15">
        <v>1678</v>
      </c>
      <c r="J15">
        <v>192.5</v>
      </c>
      <c r="K15">
        <v>0</v>
      </c>
      <c r="L15">
        <v>6.6</v>
      </c>
      <c r="M15">
        <v>21</v>
      </c>
      <c r="N15">
        <v>28</v>
      </c>
      <c r="O15">
        <v>61.8</v>
      </c>
      <c r="P15">
        <v>61.90034</v>
      </c>
      <c r="Q15">
        <v>-0.100341034</v>
      </c>
      <c r="R15" s="4">
        <f>B15*_xlfn.XLOOKUP("Cement",Emission_Factors!$A$2:$A$13,Emission_Factors!$C$2:$C$13)+C15*_xlfn.XLOOKUP("Slag",Emission_Factors!$A$2:$A$13,Emission_Factors!$C$2:$C$13)+D15*_xlfn.XLOOKUP("Silica_Fume",Emission_Factors!$A$2:$A$13,Emission_Factors!$C$2:$C$13)+E15*_xlfn.XLOOKUP("Limestone_Powder",Emission_Factors!$A$2:$A$13,Emission_Factors!$C$2:$C$13)+F15*_xlfn.XLOOKUP("Quartz_Powder",Emission_Factors!$A$2:$A$13,Emission_Factors!$C$2:$C$13)+G15*_xlfn.XLOOKUP("Fly_Ash",Emission_Factors!$A$2:$A$13,Emission_Factors!$C$2:$C$13)+H15*_xlfn.XLOOKUP("Nano_Silica",Emission_Factors!$A$2:$A$13,Emission_Factors!$C$2:$C$13)+I15*_xlfn.XLOOKUP("Aggregate",Emission_Factors!$A$2:$A$13,Emission_Factors!$C$2:$C$13)+J15*_xlfn.XLOOKUP("Water",Emission_Factors!$A$2:$A$13,Emission_Factors!$C$2:$C$13)+K15*_xlfn.XLOOKUP("Fiber_Virgin",Emission_Factors!$A$2:$A$13,Emission_Factors!$C$2:$C$13)+L15*_xlfn.XLOOKUP("Superplasticizer",Emission_Factors!$A$2:$A$13,Emission_Factors!$C$2:$C$13)</f>
        <v>476.68562999999995</v>
      </c>
      <c r="S15" s="4">
        <f>B15*_xlfn.XLOOKUP("Cement",Emission_Factors!$A$2:$A$13,Emission_Factors!$C$2:$C$13)+C15*_xlfn.XLOOKUP("Slag",Emission_Factors!$A$2:$A$13,Emission_Factors!$C$2:$C$13)+D15*_xlfn.XLOOKUP("Silica_Fume",Emission_Factors!$A$2:$A$13,Emission_Factors!$C$2:$C$13)+E15*_xlfn.XLOOKUP("Limestone_Powder",Emission_Factors!$A$2:$A$13,Emission_Factors!$C$2:$C$13)+F15*_xlfn.XLOOKUP("Quartz_Powder",Emission_Factors!$A$2:$A$13,Emission_Factors!$C$2:$C$13)+G15*_xlfn.XLOOKUP("Fly_Ash",Emission_Factors!$A$2:$A$13,Emission_Factors!$C$2:$C$13)+H15*_xlfn.XLOOKUP("Nano_Silica",Emission_Factors!$A$2:$A$13,Emission_Factors!$C$2:$C$13)+I15*_xlfn.XLOOKUP("Aggregate",Emission_Factors!$A$2:$A$13,Emission_Factors!$C$2:$C$13)+J15*_xlfn.XLOOKUP("Water",Emission_Factors!$A$2:$A$13,Emission_Factors!$C$2:$C$13)+K15*_xlfn.XLOOKUP("Fiber_Recycled",Emission_Factors!$A$2:$A$13,Emission_Factors!$C$2:$C$13)+L15*_xlfn.XLOOKUP("Superplasticizer",Emission_Factors!$A$2:$A$13,Emission_Factors!$C$2:$C$13)</f>
        <v>476.68562999999995</v>
      </c>
    </row>
    <row r="16" spans="1:19" x14ac:dyDescent="0.25">
      <c r="A16">
        <v>62</v>
      </c>
      <c r="B16">
        <v>545.875</v>
      </c>
      <c r="C16">
        <v>0</v>
      </c>
      <c r="D16">
        <v>0</v>
      </c>
      <c r="E16">
        <v>0</v>
      </c>
      <c r="F16">
        <v>0</v>
      </c>
      <c r="G16">
        <v>0</v>
      </c>
      <c r="H16">
        <v>4.125</v>
      </c>
      <c r="I16">
        <v>1685</v>
      </c>
      <c r="J16">
        <v>192.5</v>
      </c>
      <c r="K16">
        <v>0</v>
      </c>
      <c r="L16">
        <v>4.4000000000000004</v>
      </c>
      <c r="M16">
        <v>21</v>
      </c>
      <c r="N16">
        <v>90</v>
      </c>
      <c r="O16">
        <v>62</v>
      </c>
      <c r="P16">
        <v>59.549377</v>
      </c>
      <c r="Q16">
        <v>2.4506225590000001</v>
      </c>
      <c r="R16" s="4">
        <f>B16*_xlfn.XLOOKUP("Cement",Emission_Factors!$A$2:$A$13,Emission_Factors!$C$2:$C$13)+C16*_xlfn.XLOOKUP("Slag",Emission_Factors!$A$2:$A$13,Emission_Factors!$C$2:$C$13)+D16*_xlfn.XLOOKUP("Silica_Fume",Emission_Factors!$A$2:$A$13,Emission_Factors!$C$2:$C$13)+E16*_xlfn.XLOOKUP("Limestone_Powder",Emission_Factors!$A$2:$A$13,Emission_Factors!$C$2:$C$13)+F16*_xlfn.XLOOKUP("Quartz_Powder",Emission_Factors!$A$2:$A$13,Emission_Factors!$C$2:$C$13)+G16*_xlfn.XLOOKUP("Fly_Ash",Emission_Factors!$A$2:$A$13,Emission_Factors!$C$2:$C$13)+H16*_xlfn.XLOOKUP("Nano_Silica",Emission_Factors!$A$2:$A$13,Emission_Factors!$C$2:$C$13)+I16*_xlfn.XLOOKUP("Aggregate",Emission_Factors!$A$2:$A$13,Emission_Factors!$C$2:$C$13)+J16*_xlfn.XLOOKUP("Water",Emission_Factors!$A$2:$A$13,Emission_Factors!$C$2:$C$13)+K16*_xlfn.XLOOKUP("Fiber_Virgin",Emission_Factors!$A$2:$A$13,Emission_Factors!$C$2:$C$13)+L16*_xlfn.XLOOKUP("Superplasticizer",Emission_Factors!$A$2:$A$13,Emission_Factors!$C$2:$C$13)</f>
        <v>471.88007999999996</v>
      </c>
      <c r="S16" s="4">
        <f>B16*_xlfn.XLOOKUP("Cement",Emission_Factors!$A$2:$A$13,Emission_Factors!$C$2:$C$13)+C16*_xlfn.XLOOKUP("Slag",Emission_Factors!$A$2:$A$13,Emission_Factors!$C$2:$C$13)+D16*_xlfn.XLOOKUP("Silica_Fume",Emission_Factors!$A$2:$A$13,Emission_Factors!$C$2:$C$13)+E16*_xlfn.XLOOKUP("Limestone_Powder",Emission_Factors!$A$2:$A$13,Emission_Factors!$C$2:$C$13)+F16*_xlfn.XLOOKUP("Quartz_Powder",Emission_Factors!$A$2:$A$13,Emission_Factors!$C$2:$C$13)+G16*_xlfn.XLOOKUP("Fly_Ash",Emission_Factors!$A$2:$A$13,Emission_Factors!$C$2:$C$13)+H16*_xlfn.XLOOKUP("Nano_Silica",Emission_Factors!$A$2:$A$13,Emission_Factors!$C$2:$C$13)+I16*_xlfn.XLOOKUP("Aggregate",Emission_Factors!$A$2:$A$13,Emission_Factors!$C$2:$C$13)+J16*_xlfn.XLOOKUP("Water",Emission_Factors!$A$2:$A$13,Emission_Factors!$C$2:$C$13)+K16*_xlfn.XLOOKUP("Fiber_Recycled",Emission_Factors!$A$2:$A$13,Emission_Factors!$C$2:$C$13)+L16*_xlfn.XLOOKUP("Superplasticizer",Emission_Factors!$A$2:$A$13,Emission_Factors!$C$2:$C$13)</f>
        <v>471.88007999999996</v>
      </c>
    </row>
    <row r="17" spans="1:19" x14ac:dyDescent="0.25">
      <c r="A17">
        <v>64</v>
      </c>
      <c r="B17">
        <v>541.75</v>
      </c>
      <c r="C17">
        <v>0</v>
      </c>
      <c r="D17">
        <v>0</v>
      </c>
      <c r="E17">
        <v>0</v>
      </c>
      <c r="F17">
        <v>0</v>
      </c>
      <c r="G17">
        <v>0</v>
      </c>
      <c r="H17">
        <v>8.25</v>
      </c>
      <c r="I17">
        <v>1748</v>
      </c>
      <c r="J17">
        <v>165</v>
      </c>
      <c r="K17">
        <v>0</v>
      </c>
      <c r="L17">
        <v>8.25</v>
      </c>
      <c r="M17">
        <v>21</v>
      </c>
      <c r="N17">
        <v>28</v>
      </c>
      <c r="O17">
        <v>62.9</v>
      </c>
      <c r="P17">
        <v>69.185149999999993</v>
      </c>
      <c r="Q17">
        <v>-6.2851501460000003</v>
      </c>
      <c r="R17" s="4">
        <f>B17*_xlfn.XLOOKUP("Cement",Emission_Factors!$A$2:$A$13,Emission_Factors!$C$2:$C$13)+C17*_xlfn.XLOOKUP("Slag",Emission_Factors!$A$2:$A$13,Emission_Factors!$C$2:$C$13)+D17*_xlfn.XLOOKUP("Silica_Fume",Emission_Factors!$A$2:$A$13,Emission_Factors!$C$2:$C$13)+E17*_xlfn.XLOOKUP("Limestone_Powder",Emission_Factors!$A$2:$A$13,Emission_Factors!$C$2:$C$13)+F17*_xlfn.XLOOKUP("Quartz_Powder",Emission_Factors!$A$2:$A$13,Emission_Factors!$C$2:$C$13)+G17*_xlfn.XLOOKUP("Fly_Ash",Emission_Factors!$A$2:$A$13,Emission_Factors!$C$2:$C$13)+H17*_xlfn.XLOOKUP("Nano_Silica",Emission_Factors!$A$2:$A$13,Emission_Factors!$C$2:$C$13)+I17*_xlfn.XLOOKUP("Aggregate",Emission_Factors!$A$2:$A$13,Emission_Factors!$C$2:$C$13)+J17*_xlfn.XLOOKUP("Water",Emission_Factors!$A$2:$A$13,Emission_Factors!$C$2:$C$13)+K17*_xlfn.XLOOKUP("Fiber_Virgin",Emission_Factors!$A$2:$A$13,Emission_Factors!$C$2:$C$13)+L17*_xlfn.XLOOKUP("Superplasticizer",Emission_Factors!$A$2:$A$13,Emission_Factors!$C$2:$C$13)</f>
        <v>478.58783999999997</v>
      </c>
      <c r="S17" s="4">
        <f>B17*_xlfn.XLOOKUP("Cement",Emission_Factors!$A$2:$A$13,Emission_Factors!$C$2:$C$13)+C17*_xlfn.XLOOKUP("Slag",Emission_Factors!$A$2:$A$13,Emission_Factors!$C$2:$C$13)+D17*_xlfn.XLOOKUP("Silica_Fume",Emission_Factors!$A$2:$A$13,Emission_Factors!$C$2:$C$13)+E17*_xlfn.XLOOKUP("Limestone_Powder",Emission_Factors!$A$2:$A$13,Emission_Factors!$C$2:$C$13)+F17*_xlfn.XLOOKUP("Quartz_Powder",Emission_Factors!$A$2:$A$13,Emission_Factors!$C$2:$C$13)+G17*_xlfn.XLOOKUP("Fly_Ash",Emission_Factors!$A$2:$A$13,Emission_Factors!$C$2:$C$13)+H17*_xlfn.XLOOKUP("Nano_Silica",Emission_Factors!$A$2:$A$13,Emission_Factors!$C$2:$C$13)+I17*_xlfn.XLOOKUP("Aggregate",Emission_Factors!$A$2:$A$13,Emission_Factors!$C$2:$C$13)+J17*_xlfn.XLOOKUP("Water",Emission_Factors!$A$2:$A$13,Emission_Factors!$C$2:$C$13)+K17*_xlfn.XLOOKUP("Fiber_Recycled",Emission_Factors!$A$2:$A$13,Emission_Factors!$C$2:$C$13)+L17*_xlfn.XLOOKUP("Superplasticizer",Emission_Factors!$A$2:$A$13,Emission_Factors!$C$2:$C$13)</f>
        <v>478.58783999999997</v>
      </c>
    </row>
    <row r="18" spans="1:19" x14ac:dyDescent="0.25">
      <c r="A18">
        <v>71</v>
      </c>
      <c r="B18">
        <v>700</v>
      </c>
      <c r="C18">
        <v>0</v>
      </c>
      <c r="D18">
        <v>50</v>
      </c>
      <c r="E18">
        <v>0</v>
      </c>
      <c r="F18">
        <v>0</v>
      </c>
      <c r="G18">
        <v>150</v>
      </c>
      <c r="H18">
        <v>0</v>
      </c>
      <c r="I18">
        <v>1104</v>
      </c>
      <c r="J18">
        <v>180</v>
      </c>
      <c r="K18">
        <v>39</v>
      </c>
      <c r="L18">
        <v>30</v>
      </c>
      <c r="M18">
        <v>20</v>
      </c>
      <c r="N18">
        <v>1</v>
      </c>
      <c r="O18">
        <v>64.5</v>
      </c>
      <c r="P18">
        <v>69.90455</v>
      </c>
      <c r="Q18">
        <v>-5.4045486450000002</v>
      </c>
      <c r="R18" s="4">
        <f>B18*_xlfn.XLOOKUP("Cement",Emission_Factors!$A$2:$A$13,Emission_Factors!$C$2:$C$13)+C18*_xlfn.XLOOKUP("Slag",Emission_Factors!$A$2:$A$13,Emission_Factors!$C$2:$C$13)+D18*_xlfn.XLOOKUP("Silica_Fume",Emission_Factors!$A$2:$A$13,Emission_Factors!$C$2:$C$13)+E18*_xlfn.XLOOKUP("Limestone_Powder",Emission_Factors!$A$2:$A$13,Emission_Factors!$C$2:$C$13)+F18*_xlfn.XLOOKUP("Quartz_Powder",Emission_Factors!$A$2:$A$13,Emission_Factors!$C$2:$C$13)+G18*_xlfn.XLOOKUP("Fly_Ash",Emission_Factors!$A$2:$A$13,Emission_Factors!$C$2:$C$13)+H18*_xlfn.XLOOKUP("Nano_Silica",Emission_Factors!$A$2:$A$13,Emission_Factors!$C$2:$C$13)+I18*_xlfn.XLOOKUP("Aggregate",Emission_Factors!$A$2:$A$13,Emission_Factors!$C$2:$C$13)+J18*_xlfn.XLOOKUP("Water",Emission_Factors!$A$2:$A$13,Emission_Factors!$C$2:$C$13)+K18*_xlfn.XLOOKUP("Fiber_Virgin",Emission_Factors!$A$2:$A$13,Emission_Factors!$C$2:$C$13)+L18*_xlfn.XLOOKUP("Superplasticizer",Emission_Factors!$A$2:$A$13,Emission_Factors!$C$2:$C$13)</f>
        <v>714.42528000000004</v>
      </c>
      <c r="S18" s="4">
        <f>B18*_xlfn.XLOOKUP("Cement",Emission_Factors!$A$2:$A$13,Emission_Factors!$C$2:$C$13)+C18*_xlfn.XLOOKUP("Slag",Emission_Factors!$A$2:$A$13,Emission_Factors!$C$2:$C$13)+D18*_xlfn.XLOOKUP("Silica_Fume",Emission_Factors!$A$2:$A$13,Emission_Factors!$C$2:$C$13)+E18*_xlfn.XLOOKUP("Limestone_Powder",Emission_Factors!$A$2:$A$13,Emission_Factors!$C$2:$C$13)+F18*_xlfn.XLOOKUP("Quartz_Powder",Emission_Factors!$A$2:$A$13,Emission_Factors!$C$2:$C$13)+G18*_xlfn.XLOOKUP("Fly_Ash",Emission_Factors!$A$2:$A$13,Emission_Factors!$C$2:$C$13)+H18*_xlfn.XLOOKUP("Nano_Silica",Emission_Factors!$A$2:$A$13,Emission_Factors!$C$2:$C$13)+I18*_xlfn.XLOOKUP("Aggregate",Emission_Factors!$A$2:$A$13,Emission_Factors!$C$2:$C$13)+J18*_xlfn.XLOOKUP("Water",Emission_Factors!$A$2:$A$13,Emission_Factors!$C$2:$C$13)+K18*_xlfn.XLOOKUP("Fiber_Recycled",Emission_Factors!$A$2:$A$13,Emission_Factors!$C$2:$C$13)+L18*_xlfn.XLOOKUP("Superplasticizer",Emission_Factors!$A$2:$A$13,Emission_Factors!$C$2:$C$13)</f>
        <v>652.02528000000007</v>
      </c>
    </row>
    <row r="19" spans="1:19" x14ac:dyDescent="0.25">
      <c r="A19">
        <v>80</v>
      </c>
      <c r="B19">
        <v>750</v>
      </c>
      <c r="C19">
        <v>0</v>
      </c>
      <c r="D19">
        <v>250</v>
      </c>
      <c r="E19">
        <v>0</v>
      </c>
      <c r="F19">
        <v>0</v>
      </c>
      <c r="G19">
        <v>0</v>
      </c>
      <c r="H19">
        <v>0</v>
      </c>
      <c r="I19">
        <v>1140</v>
      </c>
      <c r="J19">
        <v>200</v>
      </c>
      <c r="K19">
        <v>0</v>
      </c>
      <c r="L19">
        <v>12</v>
      </c>
      <c r="M19">
        <v>23</v>
      </c>
      <c r="N19">
        <v>7</v>
      </c>
      <c r="O19">
        <v>67.599999999999994</v>
      </c>
      <c r="P19">
        <v>76.195779999999999</v>
      </c>
      <c r="Q19">
        <v>-8.5957778929999993</v>
      </c>
      <c r="R19" s="4">
        <f>B19*_xlfn.XLOOKUP("Cement",Emission_Factors!$A$2:$A$13,Emission_Factors!$C$2:$C$13)+C19*_xlfn.XLOOKUP("Slag",Emission_Factors!$A$2:$A$13,Emission_Factors!$C$2:$C$13)+D19*_xlfn.XLOOKUP("Silica_Fume",Emission_Factors!$A$2:$A$13,Emission_Factors!$C$2:$C$13)+E19*_xlfn.XLOOKUP("Limestone_Powder",Emission_Factors!$A$2:$A$13,Emission_Factors!$C$2:$C$13)+F19*_xlfn.XLOOKUP("Quartz_Powder",Emission_Factors!$A$2:$A$13,Emission_Factors!$C$2:$C$13)+G19*_xlfn.XLOOKUP("Fly_Ash",Emission_Factors!$A$2:$A$13,Emission_Factors!$C$2:$C$13)+H19*_xlfn.XLOOKUP("Nano_Silica",Emission_Factors!$A$2:$A$13,Emission_Factors!$C$2:$C$13)+I19*_xlfn.XLOOKUP("Aggregate",Emission_Factors!$A$2:$A$13,Emission_Factors!$C$2:$C$13)+J19*_xlfn.XLOOKUP("Water",Emission_Factors!$A$2:$A$13,Emission_Factors!$C$2:$C$13)+K19*_xlfn.XLOOKUP("Fiber_Virgin",Emission_Factors!$A$2:$A$13,Emission_Factors!$C$2:$C$13)+L19*_xlfn.XLOOKUP("Superplasticizer",Emission_Factors!$A$2:$A$13,Emission_Factors!$C$2:$C$13)</f>
        <v>643.06720000000007</v>
      </c>
      <c r="S19" s="4">
        <f>B19*_xlfn.XLOOKUP("Cement",Emission_Factors!$A$2:$A$13,Emission_Factors!$C$2:$C$13)+C19*_xlfn.XLOOKUP("Slag",Emission_Factors!$A$2:$A$13,Emission_Factors!$C$2:$C$13)+D19*_xlfn.XLOOKUP("Silica_Fume",Emission_Factors!$A$2:$A$13,Emission_Factors!$C$2:$C$13)+E19*_xlfn.XLOOKUP("Limestone_Powder",Emission_Factors!$A$2:$A$13,Emission_Factors!$C$2:$C$13)+F19*_xlfn.XLOOKUP("Quartz_Powder",Emission_Factors!$A$2:$A$13,Emission_Factors!$C$2:$C$13)+G19*_xlfn.XLOOKUP("Fly_Ash",Emission_Factors!$A$2:$A$13,Emission_Factors!$C$2:$C$13)+H19*_xlfn.XLOOKUP("Nano_Silica",Emission_Factors!$A$2:$A$13,Emission_Factors!$C$2:$C$13)+I19*_xlfn.XLOOKUP("Aggregate",Emission_Factors!$A$2:$A$13,Emission_Factors!$C$2:$C$13)+J19*_xlfn.XLOOKUP("Water",Emission_Factors!$A$2:$A$13,Emission_Factors!$C$2:$C$13)+K19*_xlfn.XLOOKUP("Fiber_Recycled",Emission_Factors!$A$2:$A$13,Emission_Factors!$C$2:$C$13)+L19*_xlfn.XLOOKUP("Superplasticizer",Emission_Factors!$A$2:$A$13,Emission_Factors!$C$2:$C$13)</f>
        <v>643.06720000000007</v>
      </c>
    </row>
    <row r="20" spans="1:19" x14ac:dyDescent="0.25">
      <c r="A20">
        <v>87</v>
      </c>
      <c r="B20">
        <v>545.875</v>
      </c>
      <c r="C20">
        <v>0</v>
      </c>
      <c r="D20">
        <v>0</v>
      </c>
      <c r="E20">
        <v>0</v>
      </c>
      <c r="F20">
        <v>0</v>
      </c>
      <c r="G20">
        <v>0</v>
      </c>
      <c r="H20">
        <v>4.125</v>
      </c>
      <c r="I20">
        <v>1820</v>
      </c>
      <c r="J20">
        <v>137.5</v>
      </c>
      <c r="K20">
        <v>0</v>
      </c>
      <c r="L20">
        <v>9.9</v>
      </c>
      <c r="M20">
        <v>21</v>
      </c>
      <c r="N20">
        <v>7</v>
      </c>
      <c r="O20">
        <v>69</v>
      </c>
      <c r="P20">
        <v>71.822710000000001</v>
      </c>
      <c r="Q20">
        <v>-2.8227081300000001</v>
      </c>
      <c r="R20" s="4">
        <f>B20*_xlfn.XLOOKUP("Cement",Emission_Factors!$A$2:$A$13,Emission_Factors!$C$2:$C$13)+C20*_xlfn.XLOOKUP("Slag",Emission_Factors!$A$2:$A$13,Emission_Factors!$C$2:$C$13)+D20*_xlfn.XLOOKUP("Silica_Fume",Emission_Factors!$A$2:$A$13,Emission_Factors!$C$2:$C$13)+E20*_xlfn.XLOOKUP("Limestone_Powder",Emission_Factors!$A$2:$A$13,Emission_Factors!$C$2:$C$13)+F20*_xlfn.XLOOKUP("Quartz_Powder",Emission_Factors!$A$2:$A$13,Emission_Factors!$C$2:$C$13)+G20*_xlfn.XLOOKUP("Fly_Ash",Emission_Factors!$A$2:$A$13,Emission_Factors!$C$2:$C$13)+H20*_xlfn.XLOOKUP("Nano_Silica",Emission_Factors!$A$2:$A$13,Emission_Factors!$C$2:$C$13)+I20*_xlfn.XLOOKUP("Aggregate",Emission_Factors!$A$2:$A$13,Emission_Factors!$C$2:$C$13)+J20*_xlfn.XLOOKUP("Water",Emission_Factors!$A$2:$A$13,Emission_Factors!$C$2:$C$13)+K20*_xlfn.XLOOKUP("Fiber_Virgin",Emission_Factors!$A$2:$A$13,Emission_Factors!$C$2:$C$13)+L20*_xlfn.XLOOKUP("Superplasticizer",Emission_Factors!$A$2:$A$13,Emission_Factors!$C$2:$C$13)</f>
        <v>477.73629999999997</v>
      </c>
      <c r="S20" s="4">
        <f>B20*_xlfn.XLOOKUP("Cement",Emission_Factors!$A$2:$A$13,Emission_Factors!$C$2:$C$13)+C20*_xlfn.XLOOKUP("Slag",Emission_Factors!$A$2:$A$13,Emission_Factors!$C$2:$C$13)+D20*_xlfn.XLOOKUP("Silica_Fume",Emission_Factors!$A$2:$A$13,Emission_Factors!$C$2:$C$13)+E20*_xlfn.XLOOKUP("Limestone_Powder",Emission_Factors!$A$2:$A$13,Emission_Factors!$C$2:$C$13)+F20*_xlfn.XLOOKUP("Quartz_Powder",Emission_Factors!$A$2:$A$13,Emission_Factors!$C$2:$C$13)+G20*_xlfn.XLOOKUP("Fly_Ash",Emission_Factors!$A$2:$A$13,Emission_Factors!$C$2:$C$13)+H20*_xlfn.XLOOKUP("Nano_Silica",Emission_Factors!$A$2:$A$13,Emission_Factors!$C$2:$C$13)+I20*_xlfn.XLOOKUP("Aggregate",Emission_Factors!$A$2:$A$13,Emission_Factors!$C$2:$C$13)+J20*_xlfn.XLOOKUP("Water",Emission_Factors!$A$2:$A$13,Emission_Factors!$C$2:$C$13)+K20*_xlfn.XLOOKUP("Fiber_Recycled",Emission_Factors!$A$2:$A$13,Emission_Factors!$C$2:$C$13)+L20*_xlfn.XLOOKUP("Superplasticizer",Emission_Factors!$A$2:$A$13,Emission_Factors!$C$2:$C$13)</f>
        <v>477.73629999999997</v>
      </c>
    </row>
    <row r="21" spans="1:19" x14ac:dyDescent="0.25">
      <c r="A21">
        <v>91</v>
      </c>
      <c r="B21">
        <v>712</v>
      </c>
      <c r="C21">
        <v>0</v>
      </c>
      <c r="D21">
        <v>80</v>
      </c>
      <c r="E21">
        <v>0</v>
      </c>
      <c r="F21">
        <v>0</v>
      </c>
      <c r="G21">
        <v>0</v>
      </c>
      <c r="H21">
        <v>8</v>
      </c>
      <c r="I21">
        <v>1400.3</v>
      </c>
      <c r="J21">
        <v>160</v>
      </c>
      <c r="K21">
        <v>0</v>
      </c>
      <c r="L21">
        <v>37.6</v>
      </c>
      <c r="M21">
        <v>23</v>
      </c>
      <c r="N21">
        <v>1</v>
      </c>
      <c r="O21">
        <v>69.400000000000006</v>
      </c>
      <c r="P21">
        <v>68.833179999999999</v>
      </c>
      <c r="Q21">
        <v>0.56681671099999997</v>
      </c>
      <c r="R21" s="4">
        <f>B21*_xlfn.XLOOKUP("Cement",Emission_Factors!$A$2:$A$13,Emission_Factors!$C$2:$C$13)+C21*_xlfn.XLOOKUP("Slag",Emission_Factors!$A$2:$A$13,Emission_Factors!$C$2:$C$13)+D21*_xlfn.XLOOKUP("Silica_Fume",Emission_Factors!$A$2:$A$13,Emission_Factors!$C$2:$C$13)+E21*_xlfn.XLOOKUP("Limestone_Powder",Emission_Factors!$A$2:$A$13,Emission_Factors!$C$2:$C$13)+F21*_xlfn.XLOOKUP("Quartz_Powder",Emission_Factors!$A$2:$A$13,Emission_Factors!$C$2:$C$13)+G21*_xlfn.XLOOKUP("Fly_Ash",Emission_Factors!$A$2:$A$13,Emission_Factors!$C$2:$C$13)+H21*_xlfn.XLOOKUP("Nano_Silica",Emission_Factors!$A$2:$A$13,Emission_Factors!$C$2:$C$13)+I21*_xlfn.XLOOKUP("Aggregate",Emission_Factors!$A$2:$A$13,Emission_Factors!$C$2:$C$13)+J21*_xlfn.XLOOKUP("Water",Emission_Factors!$A$2:$A$13,Emission_Factors!$C$2:$C$13)+K21*_xlfn.XLOOKUP("Fiber_Virgin",Emission_Factors!$A$2:$A$13,Emission_Factors!$C$2:$C$13)+L21*_xlfn.XLOOKUP("Superplasticizer",Emission_Factors!$A$2:$A$13,Emission_Factors!$C$2:$C$13)</f>
        <v>646.60725999999988</v>
      </c>
      <c r="S21" s="4">
        <f>B21*_xlfn.XLOOKUP("Cement",Emission_Factors!$A$2:$A$13,Emission_Factors!$C$2:$C$13)+C21*_xlfn.XLOOKUP("Slag",Emission_Factors!$A$2:$A$13,Emission_Factors!$C$2:$C$13)+D21*_xlfn.XLOOKUP("Silica_Fume",Emission_Factors!$A$2:$A$13,Emission_Factors!$C$2:$C$13)+E21*_xlfn.XLOOKUP("Limestone_Powder",Emission_Factors!$A$2:$A$13,Emission_Factors!$C$2:$C$13)+F21*_xlfn.XLOOKUP("Quartz_Powder",Emission_Factors!$A$2:$A$13,Emission_Factors!$C$2:$C$13)+G21*_xlfn.XLOOKUP("Fly_Ash",Emission_Factors!$A$2:$A$13,Emission_Factors!$C$2:$C$13)+H21*_xlfn.XLOOKUP("Nano_Silica",Emission_Factors!$A$2:$A$13,Emission_Factors!$C$2:$C$13)+I21*_xlfn.XLOOKUP("Aggregate",Emission_Factors!$A$2:$A$13,Emission_Factors!$C$2:$C$13)+J21*_xlfn.XLOOKUP("Water",Emission_Factors!$A$2:$A$13,Emission_Factors!$C$2:$C$13)+K21*_xlfn.XLOOKUP("Fiber_Recycled",Emission_Factors!$A$2:$A$13,Emission_Factors!$C$2:$C$13)+L21*_xlfn.XLOOKUP("Superplasticizer",Emission_Factors!$A$2:$A$13,Emission_Factors!$C$2:$C$13)</f>
        <v>646.60725999999988</v>
      </c>
    </row>
    <row r="22" spans="1:19" x14ac:dyDescent="0.25">
      <c r="A22">
        <v>98</v>
      </c>
      <c r="B22">
        <v>541.75</v>
      </c>
      <c r="C22">
        <v>0</v>
      </c>
      <c r="D22">
        <v>0</v>
      </c>
      <c r="E22">
        <v>0</v>
      </c>
      <c r="F22">
        <v>0</v>
      </c>
      <c r="G22">
        <v>0</v>
      </c>
      <c r="H22">
        <v>8.25</v>
      </c>
      <c r="I22">
        <v>1748</v>
      </c>
      <c r="J22">
        <v>165</v>
      </c>
      <c r="K22">
        <v>0</v>
      </c>
      <c r="L22">
        <v>8.25</v>
      </c>
      <c r="M22">
        <v>21</v>
      </c>
      <c r="N22">
        <v>90</v>
      </c>
      <c r="O22">
        <v>70.8</v>
      </c>
      <c r="P22">
        <v>76.564445000000006</v>
      </c>
      <c r="Q22">
        <v>-5.7644454959999996</v>
      </c>
      <c r="R22" s="4">
        <f>B22*_xlfn.XLOOKUP("Cement",Emission_Factors!$A$2:$A$13,Emission_Factors!$C$2:$C$13)+C22*_xlfn.XLOOKUP("Slag",Emission_Factors!$A$2:$A$13,Emission_Factors!$C$2:$C$13)+D22*_xlfn.XLOOKUP("Silica_Fume",Emission_Factors!$A$2:$A$13,Emission_Factors!$C$2:$C$13)+E22*_xlfn.XLOOKUP("Limestone_Powder",Emission_Factors!$A$2:$A$13,Emission_Factors!$C$2:$C$13)+F22*_xlfn.XLOOKUP("Quartz_Powder",Emission_Factors!$A$2:$A$13,Emission_Factors!$C$2:$C$13)+G22*_xlfn.XLOOKUP("Fly_Ash",Emission_Factors!$A$2:$A$13,Emission_Factors!$C$2:$C$13)+H22*_xlfn.XLOOKUP("Nano_Silica",Emission_Factors!$A$2:$A$13,Emission_Factors!$C$2:$C$13)+I22*_xlfn.XLOOKUP("Aggregate",Emission_Factors!$A$2:$A$13,Emission_Factors!$C$2:$C$13)+J22*_xlfn.XLOOKUP("Water",Emission_Factors!$A$2:$A$13,Emission_Factors!$C$2:$C$13)+K22*_xlfn.XLOOKUP("Fiber_Virgin",Emission_Factors!$A$2:$A$13,Emission_Factors!$C$2:$C$13)+L22*_xlfn.XLOOKUP("Superplasticizer",Emission_Factors!$A$2:$A$13,Emission_Factors!$C$2:$C$13)</f>
        <v>478.58783999999997</v>
      </c>
      <c r="S22" s="4">
        <f>B22*_xlfn.XLOOKUP("Cement",Emission_Factors!$A$2:$A$13,Emission_Factors!$C$2:$C$13)+C22*_xlfn.XLOOKUP("Slag",Emission_Factors!$A$2:$A$13,Emission_Factors!$C$2:$C$13)+D22*_xlfn.XLOOKUP("Silica_Fume",Emission_Factors!$A$2:$A$13,Emission_Factors!$C$2:$C$13)+E22*_xlfn.XLOOKUP("Limestone_Powder",Emission_Factors!$A$2:$A$13,Emission_Factors!$C$2:$C$13)+F22*_xlfn.XLOOKUP("Quartz_Powder",Emission_Factors!$A$2:$A$13,Emission_Factors!$C$2:$C$13)+G22*_xlfn.XLOOKUP("Fly_Ash",Emission_Factors!$A$2:$A$13,Emission_Factors!$C$2:$C$13)+H22*_xlfn.XLOOKUP("Nano_Silica",Emission_Factors!$A$2:$A$13,Emission_Factors!$C$2:$C$13)+I22*_xlfn.XLOOKUP("Aggregate",Emission_Factors!$A$2:$A$13,Emission_Factors!$C$2:$C$13)+J22*_xlfn.XLOOKUP("Water",Emission_Factors!$A$2:$A$13,Emission_Factors!$C$2:$C$13)+K22*_xlfn.XLOOKUP("Fiber_Recycled",Emission_Factors!$A$2:$A$13,Emission_Factors!$C$2:$C$13)+L22*_xlfn.XLOOKUP("Superplasticizer",Emission_Factors!$A$2:$A$13,Emission_Factors!$C$2:$C$13)</f>
        <v>478.58783999999997</v>
      </c>
    </row>
    <row r="23" spans="1:19" x14ac:dyDescent="0.25">
      <c r="A23">
        <v>99</v>
      </c>
      <c r="B23">
        <v>550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1830</v>
      </c>
      <c r="J23">
        <v>137.5</v>
      </c>
      <c r="K23">
        <v>0</v>
      </c>
      <c r="L23">
        <v>6.6</v>
      </c>
      <c r="M23">
        <v>21</v>
      </c>
      <c r="N23">
        <v>7</v>
      </c>
      <c r="O23">
        <v>71.599999999999994</v>
      </c>
      <c r="P23">
        <v>65.762169999999998</v>
      </c>
      <c r="Q23">
        <v>5.8378311160000003</v>
      </c>
      <c r="R23" s="4">
        <f>B23*_xlfn.XLOOKUP("Cement",Emission_Factors!$A$2:$A$13,Emission_Factors!$C$2:$C$13)+C23*_xlfn.XLOOKUP("Slag",Emission_Factors!$A$2:$A$13,Emission_Factors!$C$2:$C$13)+D23*_xlfn.XLOOKUP("Silica_Fume",Emission_Factors!$A$2:$A$13,Emission_Factors!$C$2:$C$13)+E23*_xlfn.XLOOKUP("Limestone_Powder",Emission_Factors!$A$2:$A$13,Emission_Factors!$C$2:$C$13)+F23*_xlfn.XLOOKUP("Quartz_Powder",Emission_Factors!$A$2:$A$13,Emission_Factors!$C$2:$C$13)+G23*_xlfn.XLOOKUP("Fly_Ash",Emission_Factors!$A$2:$A$13,Emission_Factors!$C$2:$C$13)+H23*_xlfn.XLOOKUP("Nano_Silica",Emission_Factors!$A$2:$A$13,Emission_Factors!$C$2:$C$13)+I23*_xlfn.XLOOKUP("Aggregate",Emission_Factors!$A$2:$A$13,Emission_Factors!$C$2:$C$13)+J23*_xlfn.XLOOKUP("Water",Emission_Factors!$A$2:$A$13,Emission_Factors!$C$2:$C$13)+K23*_xlfn.XLOOKUP("Fiber_Virgin",Emission_Factors!$A$2:$A$13,Emission_Factors!$C$2:$C$13)+L23*_xlfn.XLOOKUP("Superplasticizer",Emission_Factors!$A$2:$A$13,Emission_Factors!$C$2:$C$13)</f>
        <v>471.90734999999995</v>
      </c>
      <c r="S23" s="4">
        <f>B23*_xlfn.XLOOKUP("Cement",Emission_Factors!$A$2:$A$13,Emission_Factors!$C$2:$C$13)+C23*_xlfn.XLOOKUP("Slag",Emission_Factors!$A$2:$A$13,Emission_Factors!$C$2:$C$13)+D23*_xlfn.XLOOKUP("Silica_Fume",Emission_Factors!$A$2:$A$13,Emission_Factors!$C$2:$C$13)+E23*_xlfn.XLOOKUP("Limestone_Powder",Emission_Factors!$A$2:$A$13,Emission_Factors!$C$2:$C$13)+F23*_xlfn.XLOOKUP("Quartz_Powder",Emission_Factors!$A$2:$A$13,Emission_Factors!$C$2:$C$13)+G23*_xlfn.XLOOKUP("Fly_Ash",Emission_Factors!$A$2:$A$13,Emission_Factors!$C$2:$C$13)+H23*_xlfn.XLOOKUP("Nano_Silica",Emission_Factors!$A$2:$A$13,Emission_Factors!$C$2:$C$13)+I23*_xlfn.XLOOKUP("Aggregate",Emission_Factors!$A$2:$A$13,Emission_Factors!$C$2:$C$13)+J23*_xlfn.XLOOKUP("Water",Emission_Factors!$A$2:$A$13,Emission_Factors!$C$2:$C$13)+K23*_xlfn.XLOOKUP("Fiber_Recycled",Emission_Factors!$A$2:$A$13,Emission_Factors!$C$2:$C$13)+L23*_xlfn.XLOOKUP("Superplasticizer",Emission_Factors!$A$2:$A$13,Emission_Factors!$C$2:$C$13)</f>
        <v>471.90734999999995</v>
      </c>
    </row>
    <row r="24" spans="1:19" x14ac:dyDescent="0.25">
      <c r="A24">
        <v>102</v>
      </c>
      <c r="B24">
        <v>850</v>
      </c>
      <c r="C24">
        <v>0</v>
      </c>
      <c r="D24">
        <v>150</v>
      </c>
      <c r="E24">
        <v>0</v>
      </c>
      <c r="F24">
        <v>0</v>
      </c>
      <c r="G24">
        <v>0</v>
      </c>
      <c r="H24">
        <v>0</v>
      </c>
      <c r="I24">
        <v>1173</v>
      </c>
      <c r="J24">
        <v>200</v>
      </c>
      <c r="K24">
        <v>0</v>
      </c>
      <c r="L24">
        <v>11.99</v>
      </c>
      <c r="M24">
        <v>23</v>
      </c>
      <c r="N24">
        <v>7</v>
      </c>
      <c r="O24">
        <v>72.3</v>
      </c>
      <c r="P24">
        <v>73.636309999999995</v>
      </c>
      <c r="Q24">
        <v>-1.3363067630000001</v>
      </c>
      <c r="R24" s="4">
        <f>B24*_xlfn.XLOOKUP("Cement",Emission_Factors!$A$2:$A$13,Emission_Factors!$C$2:$C$13)+C24*_xlfn.XLOOKUP("Slag",Emission_Factors!$A$2:$A$13,Emission_Factors!$C$2:$C$13)+D24*_xlfn.XLOOKUP("Silica_Fume",Emission_Factors!$A$2:$A$13,Emission_Factors!$C$2:$C$13)+E24*_xlfn.XLOOKUP("Limestone_Powder",Emission_Factors!$A$2:$A$13,Emission_Factors!$C$2:$C$13)+F24*_xlfn.XLOOKUP("Quartz_Powder",Emission_Factors!$A$2:$A$13,Emission_Factors!$C$2:$C$13)+G24*_xlfn.XLOOKUP("Fly_Ash",Emission_Factors!$A$2:$A$13,Emission_Factors!$C$2:$C$13)+H24*_xlfn.XLOOKUP("Nano_Silica",Emission_Factors!$A$2:$A$13,Emission_Factors!$C$2:$C$13)+I24*_xlfn.XLOOKUP("Aggregate",Emission_Factors!$A$2:$A$13,Emission_Factors!$C$2:$C$13)+J24*_xlfn.XLOOKUP("Water",Emission_Factors!$A$2:$A$13,Emission_Factors!$C$2:$C$13)+K24*_xlfn.XLOOKUP("Fiber_Virgin",Emission_Factors!$A$2:$A$13,Emission_Factors!$C$2:$C$13)+L24*_xlfn.XLOOKUP("Superplasticizer",Emission_Factors!$A$2:$A$13,Emission_Factors!$C$2:$C$13)</f>
        <v>724.82276000000013</v>
      </c>
      <c r="S24" s="4">
        <f>B24*_xlfn.XLOOKUP("Cement",Emission_Factors!$A$2:$A$13,Emission_Factors!$C$2:$C$13)+C24*_xlfn.XLOOKUP("Slag",Emission_Factors!$A$2:$A$13,Emission_Factors!$C$2:$C$13)+D24*_xlfn.XLOOKUP("Silica_Fume",Emission_Factors!$A$2:$A$13,Emission_Factors!$C$2:$C$13)+E24*_xlfn.XLOOKUP("Limestone_Powder",Emission_Factors!$A$2:$A$13,Emission_Factors!$C$2:$C$13)+F24*_xlfn.XLOOKUP("Quartz_Powder",Emission_Factors!$A$2:$A$13,Emission_Factors!$C$2:$C$13)+G24*_xlfn.XLOOKUP("Fly_Ash",Emission_Factors!$A$2:$A$13,Emission_Factors!$C$2:$C$13)+H24*_xlfn.XLOOKUP("Nano_Silica",Emission_Factors!$A$2:$A$13,Emission_Factors!$C$2:$C$13)+I24*_xlfn.XLOOKUP("Aggregate",Emission_Factors!$A$2:$A$13,Emission_Factors!$C$2:$C$13)+J24*_xlfn.XLOOKUP("Water",Emission_Factors!$A$2:$A$13,Emission_Factors!$C$2:$C$13)+K24*_xlfn.XLOOKUP("Fiber_Recycled",Emission_Factors!$A$2:$A$13,Emission_Factors!$C$2:$C$13)+L24*_xlfn.XLOOKUP("Superplasticizer",Emission_Factors!$A$2:$A$13,Emission_Factors!$C$2:$C$13)</f>
        <v>724.82276000000013</v>
      </c>
    </row>
    <row r="25" spans="1:19" x14ac:dyDescent="0.25">
      <c r="A25">
        <v>105</v>
      </c>
      <c r="B25">
        <v>430.7</v>
      </c>
      <c r="C25">
        <v>0</v>
      </c>
      <c r="D25">
        <v>0</v>
      </c>
      <c r="E25">
        <v>263.7</v>
      </c>
      <c r="F25">
        <v>175.9</v>
      </c>
      <c r="G25">
        <v>0</v>
      </c>
      <c r="H25">
        <v>8.8000000000000007</v>
      </c>
      <c r="I25">
        <v>1273.4000000000001</v>
      </c>
      <c r="J25">
        <v>175.8</v>
      </c>
      <c r="K25">
        <v>195</v>
      </c>
      <c r="L25">
        <v>43.9</v>
      </c>
      <c r="M25">
        <v>21</v>
      </c>
      <c r="N25">
        <v>3</v>
      </c>
      <c r="O25">
        <v>72.84</v>
      </c>
      <c r="P25">
        <v>77.527230000000003</v>
      </c>
      <c r="Q25">
        <v>-4.6872293090000001</v>
      </c>
      <c r="R25" s="4">
        <f>B25*_xlfn.XLOOKUP("Cement",Emission_Factors!$A$2:$A$13,Emission_Factors!$C$2:$C$13)+C25*_xlfn.XLOOKUP("Slag",Emission_Factors!$A$2:$A$13,Emission_Factors!$C$2:$C$13)+D25*_xlfn.XLOOKUP("Silica_Fume",Emission_Factors!$A$2:$A$13,Emission_Factors!$C$2:$C$13)+E25*_xlfn.XLOOKUP("Limestone_Powder",Emission_Factors!$A$2:$A$13,Emission_Factors!$C$2:$C$13)+F25*_xlfn.XLOOKUP("Quartz_Powder",Emission_Factors!$A$2:$A$13,Emission_Factors!$C$2:$C$13)+G25*_xlfn.XLOOKUP("Fly_Ash",Emission_Factors!$A$2:$A$13,Emission_Factors!$C$2:$C$13)+H25*_xlfn.XLOOKUP("Nano_Silica",Emission_Factors!$A$2:$A$13,Emission_Factors!$C$2:$C$13)+I25*_xlfn.XLOOKUP("Aggregate",Emission_Factors!$A$2:$A$13,Emission_Factors!$C$2:$C$13)+J25*_xlfn.XLOOKUP("Water",Emission_Factors!$A$2:$A$13,Emission_Factors!$C$2:$C$13)+K25*_xlfn.XLOOKUP("Fiber_Virgin",Emission_Factors!$A$2:$A$13,Emission_Factors!$C$2:$C$13)+L25*_xlfn.XLOOKUP("Superplasticizer",Emission_Factors!$A$2:$A$13,Emission_Factors!$C$2:$C$13)</f>
        <v>914.67578679999997</v>
      </c>
      <c r="S25" s="4">
        <f>B25*_xlfn.XLOOKUP("Cement",Emission_Factors!$A$2:$A$13,Emission_Factors!$C$2:$C$13)+C25*_xlfn.XLOOKUP("Slag",Emission_Factors!$A$2:$A$13,Emission_Factors!$C$2:$C$13)+D25*_xlfn.XLOOKUP("Silica_Fume",Emission_Factors!$A$2:$A$13,Emission_Factors!$C$2:$C$13)+E25*_xlfn.XLOOKUP("Limestone_Powder",Emission_Factors!$A$2:$A$13,Emission_Factors!$C$2:$C$13)+F25*_xlfn.XLOOKUP("Quartz_Powder",Emission_Factors!$A$2:$A$13,Emission_Factors!$C$2:$C$13)+G25*_xlfn.XLOOKUP("Fly_Ash",Emission_Factors!$A$2:$A$13,Emission_Factors!$C$2:$C$13)+H25*_xlfn.XLOOKUP("Nano_Silica",Emission_Factors!$A$2:$A$13,Emission_Factors!$C$2:$C$13)+I25*_xlfn.XLOOKUP("Aggregate",Emission_Factors!$A$2:$A$13,Emission_Factors!$C$2:$C$13)+J25*_xlfn.XLOOKUP("Water",Emission_Factors!$A$2:$A$13,Emission_Factors!$C$2:$C$13)+K25*_xlfn.XLOOKUP("Fiber_Recycled",Emission_Factors!$A$2:$A$13,Emission_Factors!$C$2:$C$13)+L25*_xlfn.XLOOKUP("Superplasticizer",Emission_Factors!$A$2:$A$13,Emission_Factors!$C$2:$C$13)</f>
        <v>602.67578679999997</v>
      </c>
    </row>
    <row r="26" spans="1:19" x14ac:dyDescent="0.25">
      <c r="A26">
        <v>106</v>
      </c>
      <c r="B26">
        <v>850</v>
      </c>
      <c r="C26">
        <v>0</v>
      </c>
      <c r="D26">
        <v>150</v>
      </c>
      <c r="E26">
        <v>0</v>
      </c>
      <c r="F26">
        <v>0</v>
      </c>
      <c r="G26">
        <v>0</v>
      </c>
      <c r="H26">
        <v>0</v>
      </c>
      <c r="I26">
        <v>1173</v>
      </c>
      <c r="J26">
        <v>200</v>
      </c>
      <c r="K26">
        <v>0</v>
      </c>
      <c r="L26">
        <v>14.03</v>
      </c>
      <c r="M26">
        <v>23</v>
      </c>
      <c r="N26">
        <v>7</v>
      </c>
      <c r="O26">
        <v>72.88</v>
      </c>
      <c r="P26">
        <v>89.093289999999996</v>
      </c>
      <c r="Q26">
        <v>-16.213292240000001</v>
      </c>
      <c r="R26" s="4">
        <f>B26*_xlfn.XLOOKUP("Cement",Emission_Factors!$A$2:$A$13,Emission_Factors!$C$2:$C$13)+C26*_xlfn.XLOOKUP("Slag",Emission_Factors!$A$2:$A$13,Emission_Factors!$C$2:$C$13)+D26*_xlfn.XLOOKUP("Silica_Fume",Emission_Factors!$A$2:$A$13,Emission_Factors!$C$2:$C$13)+E26*_xlfn.XLOOKUP("Limestone_Powder",Emission_Factors!$A$2:$A$13,Emission_Factors!$C$2:$C$13)+F26*_xlfn.XLOOKUP("Quartz_Powder",Emission_Factors!$A$2:$A$13,Emission_Factors!$C$2:$C$13)+G26*_xlfn.XLOOKUP("Fly_Ash",Emission_Factors!$A$2:$A$13,Emission_Factors!$C$2:$C$13)+H26*_xlfn.XLOOKUP("Nano_Silica",Emission_Factors!$A$2:$A$13,Emission_Factors!$C$2:$C$13)+I26*_xlfn.XLOOKUP("Aggregate",Emission_Factors!$A$2:$A$13,Emission_Factors!$C$2:$C$13)+J26*_xlfn.XLOOKUP("Water",Emission_Factors!$A$2:$A$13,Emission_Factors!$C$2:$C$13)+K26*_xlfn.XLOOKUP("Fiber_Virgin",Emission_Factors!$A$2:$A$13,Emission_Factors!$C$2:$C$13)+L26*_xlfn.XLOOKUP("Superplasticizer",Emission_Factors!$A$2:$A$13,Emission_Factors!$C$2:$C$13)</f>
        <v>726.7485200000001</v>
      </c>
      <c r="S26" s="4">
        <f>B26*_xlfn.XLOOKUP("Cement",Emission_Factors!$A$2:$A$13,Emission_Factors!$C$2:$C$13)+C26*_xlfn.XLOOKUP("Slag",Emission_Factors!$A$2:$A$13,Emission_Factors!$C$2:$C$13)+D26*_xlfn.XLOOKUP("Silica_Fume",Emission_Factors!$A$2:$A$13,Emission_Factors!$C$2:$C$13)+E26*_xlfn.XLOOKUP("Limestone_Powder",Emission_Factors!$A$2:$A$13,Emission_Factors!$C$2:$C$13)+F26*_xlfn.XLOOKUP("Quartz_Powder",Emission_Factors!$A$2:$A$13,Emission_Factors!$C$2:$C$13)+G26*_xlfn.XLOOKUP("Fly_Ash",Emission_Factors!$A$2:$A$13,Emission_Factors!$C$2:$C$13)+H26*_xlfn.XLOOKUP("Nano_Silica",Emission_Factors!$A$2:$A$13,Emission_Factors!$C$2:$C$13)+I26*_xlfn.XLOOKUP("Aggregate",Emission_Factors!$A$2:$A$13,Emission_Factors!$C$2:$C$13)+J26*_xlfn.XLOOKUP("Water",Emission_Factors!$A$2:$A$13,Emission_Factors!$C$2:$C$13)+K26*_xlfn.XLOOKUP("Fiber_Recycled",Emission_Factors!$A$2:$A$13,Emission_Factors!$C$2:$C$13)+L26*_xlfn.XLOOKUP("Superplasticizer",Emission_Factors!$A$2:$A$13,Emission_Factors!$C$2:$C$13)</f>
        <v>726.7485200000001</v>
      </c>
    </row>
    <row r="27" spans="1:19" x14ac:dyDescent="0.25">
      <c r="A27">
        <v>121</v>
      </c>
      <c r="B27">
        <v>741</v>
      </c>
      <c r="C27">
        <v>0</v>
      </c>
      <c r="D27">
        <v>185</v>
      </c>
      <c r="E27">
        <v>64.75</v>
      </c>
      <c r="F27">
        <v>194.25</v>
      </c>
      <c r="G27">
        <v>0</v>
      </c>
      <c r="H27">
        <v>0</v>
      </c>
      <c r="I27">
        <v>815</v>
      </c>
      <c r="J27">
        <v>185</v>
      </c>
      <c r="K27">
        <v>156</v>
      </c>
      <c r="L27">
        <v>9</v>
      </c>
      <c r="M27">
        <v>30</v>
      </c>
      <c r="N27">
        <v>1</v>
      </c>
      <c r="O27">
        <v>76</v>
      </c>
      <c r="P27">
        <v>90.572109999999995</v>
      </c>
      <c r="Q27">
        <v>-14.57211304</v>
      </c>
      <c r="R27" s="4">
        <f>B27*_xlfn.XLOOKUP("Cement",Emission_Factors!$A$2:$A$13,Emission_Factors!$C$2:$C$13)+C27*_xlfn.XLOOKUP("Slag",Emission_Factors!$A$2:$A$13,Emission_Factors!$C$2:$C$13)+D27*_xlfn.XLOOKUP("Silica_Fume",Emission_Factors!$A$2:$A$13,Emission_Factors!$C$2:$C$13)+E27*_xlfn.XLOOKUP("Limestone_Powder",Emission_Factors!$A$2:$A$13,Emission_Factors!$C$2:$C$13)+F27*_xlfn.XLOOKUP("Quartz_Powder",Emission_Factors!$A$2:$A$13,Emission_Factors!$C$2:$C$13)+G27*_xlfn.XLOOKUP("Fly_Ash",Emission_Factors!$A$2:$A$13,Emission_Factors!$C$2:$C$13)+H27*_xlfn.XLOOKUP("Nano_Silica",Emission_Factors!$A$2:$A$13,Emission_Factors!$C$2:$C$13)+I27*_xlfn.XLOOKUP("Aggregate",Emission_Factors!$A$2:$A$13,Emission_Factors!$C$2:$C$13)+J27*_xlfn.XLOOKUP("Water",Emission_Factors!$A$2:$A$13,Emission_Factors!$C$2:$C$13)+K27*_xlfn.XLOOKUP("Fiber_Virgin",Emission_Factors!$A$2:$A$13,Emission_Factors!$C$2:$C$13)+L27*_xlfn.XLOOKUP("Superplasticizer",Emission_Factors!$A$2:$A$13,Emission_Factors!$C$2:$C$13)</f>
        <v>1025.9317350000001</v>
      </c>
      <c r="S27" s="4">
        <f>B27*_xlfn.XLOOKUP("Cement",Emission_Factors!$A$2:$A$13,Emission_Factors!$C$2:$C$13)+C27*_xlfn.XLOOKUP("Slag",Emission_Factors!$A$2:$A$13,Emission_Factors!$C$2:$C$13)+D27*_xlfn.XLOOKUP("Silica_Fume",Emission_Factors!$A$2:$A$13,Emission_Factors!$C$2:$C$13)+E27*_xlfn.XLOOKUP("Limestone_Powder",Emission_Factors!$A$2:$A$13,Emission_Factors!$C$2:$C$13)+F27*_xlfn.XLOOKUP("Quartz_Powder",Emission_Factors!$A$2:$A$13,Emission_Factors!$C$2:$C$13)+G27*_xlfn.XLOOKUP("Fly_Ash",Emission_Factors!$A$2:$A$13,Emission_Factors!$C$2:$C$13)+H27*_xlfn.XLOOKUP("Nano_Silica",Emission_Factors!$A$2:$A$13,Emission_Factors!$C$2:$C$13)+I27*_xlfn.XLOOKUP("Aggregate",Emission_Factors!$A$2:$A$13,Emission_Factors!$C$2:$C$13)+J27*_xlfn.XLOOKUP("Water",Emission_Factors!$A$2:$A$13,Emission_Factors!$C$2:$C$13)+K27*_xlfn.XLOOKUP("Fiber_Recycled",Emission_Factors!$A$2:$A$13,Emission_Factors!$C$2:$C$13)+L27*_xlfn.XLOOKUP("Superplasticizer",Emission_Factors!$A$2:$A$13,Emission_Factors!$C$2:$C$13)</f>
        <v>776.33173499999998</v>
      </c>
    </row>
    <row r="28" spans="1:19" x14ac:dyDescent="0.25">
      <c r="A28">
        <v>128</v>
      </c>
      <c r="B28">
        <v>784</v>
      </c>
      <c r="C28">
        <v>0</v>
      </c>
      <c r="D28">
        <v>0</v>
      </c>
      <c r="E28">
        <v>0</v>
      </c>
      <c r="F28">
        <v>0</v>
      </c>
      <c r="G28">
        <v>0</v>
      </c>
      <c r="H28">
        <v>16</v>
      </c>
      <c r="I28">
        <v>1430.2</v>
      </c>
      <c r="J28">
        <v>160</v>
      </c>
      <c r="K28">
        <v>0</v>
      </c>
      <c r="L28">
        <v>36</v>
      </c>
      <c r="M28">
        <v>23</v>
      </c>
      <c r="N28">
        <v>1</v>
      </c>
      <c r="O28">
        <v>77.900000000000006</v>
      </c>
      <c r="P28">
        <v>82.034480000000002</v>
      </c>
      <c r="Q28">
        <v>-4.1344772340000002</v>
      </c>
      <c r="R28" s="4">
        <f>B28*_xlfn.XLOOKUP("Cement",Emission_Factors!$A$2:$A$13,Emission_Factors!$C$2:$C$13)+C28*_xlfn.XLOOKUP("Slag",Emission_Factors!$A$2:$A$13,Emission_Factors!$C$2:$C$13)+D28*_xlfn.XLOOKUP("Silica_Fume",Emission_Factors!$A$2:$A$13,Emission_Factors!$C$2:$C$13)+E28*_xlfn.XLOOKUP("Limestone_Powder",Emission_Factors!$A$2:$A$13,Emission_Factors!$C$2:$C$13)+F28*_xlfn.XLOOKUP("Quartz_Powder",Emission_Factors!$A$2:$A$13,Emission_Factors!$C$2:$C$13)+G28*_xlfn.XLOOKUP("Fly_Ash",Emission_Factors!$A$2:$A$13,Emission_Factors!$C$2:$C$13)+H28*_xlfn.XLOOKUP("Nano_Silica",Emission_Factors!$A$2:$A$13,Emission_Factors!$C$2:$C$13)+I28*_xlfn.XLOOKUP("Aggregate",Emission_Factors!$A$2:$A$13,Emission_Factors!$C$2:$C$13)+J28*_xlfn.XLOOKUP("Water",Emission_Factors!$A$2:$A$13,Emission_Factors!$C$2:$C$13)+K28*_xlfn.XLOOKUP("Fiber_Virgin",Emission_Factors!$A$2:$A$13,Emission_Factors!$C$2:$C$13)+L28*_xlfn.XLOOKUP("Superplasticizer",Emission_Factors!$A$2:$A$13,Emission_Factors!$C$2:$C$13)</f>
        <v>715.88635999999985</v>
      </c>
      <c r="S28" s="4">
        <f>B28*_xlfn.XLOOKUP("Cement",Emission_Factors!$A$2:$A$13,Emission_Factors!$C$2:$C$13)+C28*_xlfn.XLOOKUP("Slag",Emission_Factors!$A$2:$A$13,Emission_Factors!$C$2:$C$13)+D28*_xlfn.XLOOKUP("Silica_Fume",Emission_Factors!$A$2:$A$13,Emission_Factors!$C$2:$C$13)+E28*_xlfn.XLOOKUP("Limestone_Powder",Emission_Factors!$A$2:$A$13,Emission_Factors!$C$2:$C$13)+F28*_xlfn.XLOOKUP("Quartz_Powder",Emission_Factors!$A$2:$A$13,Emission_Factors!$C$2:$C$13)+G28*_xlfn.XLOOKUP("Fly_Ash",Emission_Factors!$A$2:$A$13,Emission_Factors!$C$2:$C$13)+H28*_xlfn.XLOOKUP("Nano_Silica",Emission_Factors!$A$2:$A$13,Emission_Factors!$C$2:$C$13)+I28*_xlfn.XLOOKUP("Aggregate",Emission_Factors!$A$2:$A$13,Emission_Factors!$C$2:$C$13)+J28*_xlfn.XLOOKUP("Water",Emission_Factors!$A$2:$A$13,Emission_Factors!$C$2:$C$13)+K28*_xlfn.XLOOKUP("Fiber_Recycled",Emission_Factors!$A$2:$A$13,Emission_Factors!$C$2:$C$13)+L28*_xlfn.XLOOKUP("Superplasticizer",Emission_Factors!$A$2:$A$13,Emission_Factors!$C$2:$C$13)</f>
        <v>715.88635999999985</v>
      </c>
    </row>
    <row r="29" spans="1:19" x14ac:dyDescent="0.25">
      <c r="A29">
        <v>130</v>
      </c>
      <c r="B29">
        <v>741</v>
      </c>
      <c r="C29">
        <v>0</v>
      </c>
      <c r="D29">
        <v>185</v>
      </c>
      <c r="E29">
        <v>129.5</v>
      </c>
      <c r="F29">
        <v>129.5</v>
      </c>
      <c r="G29">
        <v>0</v>
      </c>
      <c r="H29">
        <v>0</v>
      </c>
      <c r="I29">
        <v>815</v>
      </c>
      <c r="J29">
        <v>185</v>
      </c>
      <c r="K29">
        <v>156</v>
      </c>
      <c r="L29">
        <v>9</v>
      </c>
      <c r="M29">
        <v>30</v>
      </c>
      <c r="N29">
        <v>1</v>
      </c>
      <c r="O29">
        <v>78</v>
      </c>
      <c r="P29">
        <v>85.462800000000001</v>
      </c>
      <c r="Q29">
        <v>-7.4627990720000001</v>
      </c>
      <c r="R29" s="4">
        <f>B29*_xlfn.XLOOKUP("Cement",Emission_Factors!$A$2:$A$13,Emission_Factors!$C$2:$C$13)+C29*_xlfn.XLOOKUP("Slag",Emission_Factors!$A$2:$A$13,Emission_Factors!$C$2:$C$13)+D29*_xlfn.XLOOKUP("Silica_Fume",Emission_Factors!$A$2:$A$13,Emission_Factors!$C$2:$C$13)+E29*_xlfn.XLOOKUP("Limestone_Powder",Emission_Factors!$A$2:$A$13,Emission_Factors!$C$2:$C$13)+F29*_xlfn.XLOOKUP("Quartz_Powder",Emission_Factors!$A$2:$A$13,Emission_Factors!$C$2:$C$13)+G29*_xlfn.XLOOKUP("Fly_Ash",Emission_Factors!$A$2:$A$13,Emission_Factors!$C$2:$C$13)+H29*_xlfn.XLOOKUP("Nano_Silica",Emission_Factors!$A$2:$A$13,Emission_Factors!$C$2:$C$13)+I29*_xlfn.XLOOKUP("Aggregate",Emission_Factors!$A$2:$A$13,Emission_Factors!$C$2:$C$13)+J29*_xlfn.XLOOKUP("Water",Emission_Factors!$A$2:$A$13,Emission_Factors!$C$2:$C$13)+K29*_xlfn.XLOOKUP("Fiber_Virgin",Emission_Factors!$A$2:$A$13,Emission_Factors!$C$2:$C$13)+L29*_xlfn.XLOOKUP("Superplasticizer",Emission_Factors!$A$2:$A$13,Emission_Factors!$C$2:$C$13)</f>
        <v>1025.49791</v>
      </c>
      <c r="S29" s="4">
        <f>B29*_xlfn.XLOOKUP("Cement",Emission_Factors!$A$2:$A$13,Emission_Factors!$C$2:$C$13)+C29*_xlfn.XLOOKUP("Slag",Emission_Factors!$A$2:$A$13,Emission_Factors!$C$2:$C$13)+D29*_xlfn.XLOOKUP("Silica_Fume",Emission_Factors!$A$2:$A$13,Emission_Factors!$C$2:$C$13)+E29*_xlfn.XLOOKUP("Limestone_Powder",Emission_Factors!$A$2:$A$13,Emission_Factors!$C$2:$C$13)+F29*_xlfn.XLOOKUP("Quartz_Powder",Emission_Factors!$A$2:$A$13,Emission_Factors!$C$2:$C$13)+G29*_xlfn.XLOOKUP("Fly_Ash",Emission_Factors!$A$2:$A$13,Emission_Factors!$C$2:$C$13)+H29*_xlfn.XLOOKUP("Nano_Silica",Emission_Factors!$A$2:$A$13,Emission_Factors!$C$2:$C$13)+I29*_xlfn.XLOOKUP("Aggregate",Emission_Factors!$A$2:$A$13,Emission_Factors!$C$2:$C$13)+J29*_xlfn.XLOOKUP("Water",Emission_Factors!$A$2:$A$13,Emission_Factors!$C$2:$C$13)+K29*_xlfn.XLOOKUP("Fiber_Recycled",Emission_Factors!$A$2:$A$13,Emission_Factors!$C$2:$C$13)+L29*_xlfn.XLOOKUP("Superplasticizer",Emission_Factors!$A$2:$A$13,Emission_Factors!$C$2:$C$13)</f>
        <v>775.89791000000002</v>
      </c>
    </row>
    <row r="30" spans="1:19" x14ac:dyDescent="0.25">
      <c r="A30">
        <v>134</v>
      </c>
      <c r="B30">
        <v>792</v>
      </c>
      <c r="C30">
        <v>0</v>
      </c>
      <c r="D30">
        <v>0</v>
      </c>
      <c r="E30">
        <v>0</v>
      </c>
      <c r="F30">
        <v>0</v>
      </c>
      <c r="G30">
        <v>0</v>
      </c>
      <c r="H30">
        <v>8</v>
      </c>
      <c r="I30">
        <v>1450.8</v>
      </c>
      <c r="J30">
        <v>160</v>
      </c>
      <c r="K30">
        <v>0</v>
      </c>
      <c r="L30">
        <v>28.8</v>
      </c>
      <c r="M30">
        <v>23</v>
      </c>
      <c r="N30">
        <v>1</v>
      </c>
      <c r="O30">
        <v>78.900000000000006</v>
      </c>
      <c r="P30">
        <v>85.674903999999998</v>
      </c>
      <c r="Q30">
        <v>-6.7749038700000002</v>
      </c>
      <c r="R30" s="4">
        <f>B30*_xlfn.XLOOKUP("Cement",Emission_Factors!$A$2:$A$13,Emission_Factors!$C$2:$C$13)+C30*_xlfn.XLOOKUP("Slag",Emission_Factors!$A$2:$A$13,Emission_Factors!$C$2:$C$13)+D30*_xlfn.XLOOKUP("Silica_Fume",Emission_Factors!$A$2:$A$13,Emission_Factors!$C$2:$C$13)+E30*_xlfn.XLOOKUP("Limestone_Powder",Emission_Factors!$A$2:$A$13,Emission_Factors!$C$2:$C$13)+F30*_xlfn.XLOOKUP("Quartz_Powder",Emission_Factors!$A$2:$A$13,Emission_Factors!$C$2:$C$13)+G30*_xlfn.XLOOKUP("Fly_Ash",Emission_Factors!$A$2:$A$13,Emission_Factors!$C$2:$C$13)+H30*_xlfn.XLOOKUP("Nano_Silica",Emission_Factors!$A$2:$A$13,Emission_Factors!$C$2:$C$13)+I30*_xlfn.XLOOKUP("Aggregate",Emission_Factors!$A$2:$A$13,Emission_Factors!$C$2:$C$13)+J30*_xlfn.XLOOKUP("Water",Emission_Factors!$A$2:$A$13,Emission_Factors!$C$2:$C$13)+K30*_xlfn.XLOOKUP("Fiber_Virgin",Emission_Factors!$A$2:$A$13,Emission_Factors!$C$2:$C$13)+L30*_xlfn.XLOOKUP("Superplasticizer",Emission_Factors!$A$2:$A$13,Emission_Factors!$C$2:$C$13)</f>
        <v>703.83255999999994</v>
      </c>
      <c r="S30" s="4">
        <f>B30*_xlfn.XLOOKUP("Cement",Emission_Factors!$A$2:$A$13,Emission_Factors!$C$2:$C$13)+C30*_xlfn.XLOOKUP("Slag",Emission_Factors!$A$2:$A$13,Emission_Factors!$C$2:$C$13)+D30*_xlfn.XLOOKUP("Silica_Fume",Emission_Factors!$A$2:$A$13,Emission_Factors!$C$2:$C$13)+E30*_xlfn.XLOOKUP("Limestone_Powder",Emission_Factors!$A$2:$A$13,Emission_Factors!$C$2:$C$13)+F30*_xlfn.XLOOKUP("Quartz_Powder",Emission_Factors!$A$2:$A$13,Emission_Factors!$C$2:$C$13)+G30*_xlfn.XLOOKUP("Fly_Ash",Emission_Factors!$A$2:$A$13,Emission_Factors!$C$2:$C$13)+H30*_xlfn.XLOOKUP("Nano_Silica",Emission_Factors!$A$2:$A$13,Emission_Factors!$C$2:$C$13)+I30*_xlfn.XLOOKUP("Aggregate",Emission_Factors!$A$2:$A$13,Emission_Factors!$C$2:$C$13)+J30*_xlfn.XLOOKUP("Water",Emission_Factors!$A$2:$A$13,Emission_Factors!$C$2:$C$13)+K30*_xlfn.XLOOKUP("Fiber_Recycled",Emission_Factors!$A$2:$A$13,Emission_Factors!$C$2:$C$13)+L30*_xlfn.XLOOKUP("Superplasticizer",Emission_Factors!$A$2:$A$13,Emission_Factors!$C$2:$C$13)</f>
        <v>703.83255999999994</v>
      </c>
    </row>
    <row r="31" spans="1:19" x14ac:dyDescent="0.25">
      <c r="A31">
        <v>135</v>
      </c>
      <c r="B31">
        <v>432</v>
      </c>
      <c r="C31">
        <v>216</v>
      </c>
      <c r="D31">
        <v>216</v>
      </c>
      <c r="E31">
        <v>0</v>
      </c>
      <c r="F31">
        <v>0</v>
      </c>
      <c r="G31">
        <v>216</v>
      </c>
      <c r="H31">
        <v>0</v>
      </c>
      <c r="I31">
        <v>923</v>
      </c>
      <c r="J31">
        <v>177</v>
      </c>
      <c r="K31">
        <v>0</v>
      </c>
      <c r="L31">
        <v>32.4</v>
      </c>
      <c r="M31">
        <v>20</v>
      </c>
      <c r="N31">
        <v>7</v>
      </c>
      <c r="O31">
        <v>79.2</v>
      </c>
      <c r="P31">
        <v>87.983509999999995</v>
      </c>
      <c r="Q31">
        <v>-8.7835128779999998</v>
      </c>
      <c r="R31" s="4">
        <f>B31*_xlfn.XLOOKUP("Cement",Emission_Factors!$A$2:$A$13,Emission_Factors!$C$2:$C$13)+C31*_xlfn.XLOOKUP("Slag",Emission_Factors!$A$2:$A$13,Emission_Factors!$C$2:$C$13)+D31*_xlfn.XLOOKUP("Silica_Fume",Emission_Factors!$A$2:$A$13,Emission_Factors!$C$2:$C$13)+E31*_xlfn.XLOOKUP("Limestone_Powder",Emission_Factors!$A$2:$A$13,Emission_Factors!$C$2:$C$13)+F31*_xlfn.XLOOKUP("Quartz_Powder",Emission_Factors!$A$2:$A$13,Emission_Factors!$C$2:$C$13)+G31*_xlfn.XLOOKUP("Fly_Ash",Emission_Factors!$A$2:$A$13,Emission_Factors!$C$2:$C$13)+H31*_xlfn.XLOOKUP("Nano_Silica",Emission_Factors!$A$2:$A$13,Emission_Factors!$C$2:$C$13)+I31*_xlfn.XLOOKUP("Aggregate",Emission_Factors!$A$2:$A$13,Emission_Factors!$C$2:$C$13)+J31*_xlfn.XLOOKUP("Water",Emission_Factors!$A$2:$A$13,Emission_Factors!$C$2:$C$13)+K31*_xlfn.XLOOKUP("Fiber_Virgin",Emission_Factors!$A$2:$A$13,Emission_Factors!$C$2:$C$13)+L31*_xlfn.XLOOKUP("Superplasticizer",Emission_Factors!$A$2:$A$13,Emission_Factors!$C$2:$C$13)</f>
        <v>409.99529200000006</v>
      </c>
      <c r="S31" s="4">
        <f>B31*_xlfn.XLOOKUP("Cement",Emission_Factors!$A$2:$A$13,Emission_Factors!$C$2:$C$13)+C31*_xlfn.XLOOKUP("Slag",Emission_Factors!$A$2:$A$13,Emission_Factors!$C$2:$C$13)+D31*_xlfn.XLOOKUP("Silica_Fume",Emission_Factors!$A$2:$A$13,Emission_Factors!$C$2:$C$13)+E31*_xlfn.XLOOKUP("Limestone_Powder",Emission_Factors!$A$2:$A$13,Emission_Factors!$C$2:$C$13)+F31*_xlfn.XLOOKUP("Quartz_Powder",Emission_Factors!$A$2:$A$13,Emission_Factors!$C$2:$C$13)+G31*_xlfn.XLOOKUP("Fly_Ash",Emission_Factors!$A$2:$A$13,Emission_Factors!$C$2:$C$13)+H31*_xlfn.XLOOKUP("Nano_Silica",Emission_Factors!$A$2:$A$13,Emission_Factors!$C$2:$C$13)+I31*_xlfn.XLOOKUP("Aggregate",Emission_Factors!$A$2:$A$13,Emission_Factors!$C$2:$C$13)+J31*_xlfn.XLOOKUP("Water",Emission_Factors!$A$2:$A$13,Emission_Factors!$C$2:$C$13)+K31*_xlfn.XLOOKUP("Fiber_Recycled",Emission_Factors!$A$2:$A$13,Emission_Factors!$C$2:$C$13)+L31*_xlfn.XLOOKUP("Superplasticizer",Emission_Factors!$A$2:$A$13,Emission_Factors!$C$2:$C$13)</f>
        <v>409.99529200000006</v>
      </c>
    </row>
    <row r="32" spans="1:19" x14ac:dyDescent="0.25">
      <c r="A32">
        <v>138</v>
      </c>
      <c r="B32">
        <v>430.7</v>
      </c>
      <c r="C32">
        <v>0</v>
      </c>
      <c r="D32">
        <v>0</v>
      </c>
      <c r="E32">
        <v>263.7</v>
      </c>
      <c r="F32">
        <v>175.9</v>
      </c>
      <c r="G32">
        <v>0</v>
      </c>
      <c r="H32">
        <v>8.8000000000000007</v>
      </c>
      <c r="I32">
        <v>1273.4000000000001</v>
      </c>
      <c r="J32">
        <v>175.8</v>
      </c>
      <c r="K32">
        <v>0</v>
      </c>
      <c r="L32">
        <v>43.9</v>
      </c>
      <c r="M32">
        <v>21</v>
      </c>
      <c r="N32">
        <v>28</v>
      </c>
      <c r="O32">
        <v>81.099999999999994</v>
      </c>
      <c r="P32">
        <v>86.128783999999996</v>
      </c>
      <c r="Q32">
        <v>-5.0287841799999997</v>
      </c>
      <c r="R32" s="4">
        <f>B32*_xlfn.XLOOKUP("Cement",Emission_Factors!$A$2:$A$13,Emission_Factors!$C$2:$C$13)+C32*_xlfn.XLOOKUP("Slag",Emission_Factors!$A$2:$A$13,Emission_Factors!$C$2:$C$13)+D32*_xlfn.XLOOKUP("Silica_Fume",Emission_Factors!$A$2:$A$13,Emission_Factors!$C$2:$C$13)+E32*_xlfn.XLOOKUP("Limestone_Powder",Emission_Factors!$A$2:$A$13,Emission_Factors!$C$2:$C$13)+F32*_xlfn.XLOOKUP("Quartz_Powder",Emission_Factors!$A$2:$A$13,Emission_Factors!$C$2:$C$13)+G32*_xlfn.XLOOKUP("Fly_Ash",Emission_Factors!$A$2:$A$13,Emission_Factors!$C$2:$C$13)+H32*_xlfn.XLOOKUP("Nano_Silica",Emission_Factors!$A$2:$A$13,Emission_Factors!$C$2:$C$13)+I32*_xlfn.XLOOKUP("Aggregate",Emission_Factors!$A$2:$A$13,Emission_Factors!$C$2:$C$13)+J32*_xlfn.XLOOKUP("Water",Emission_Factors!$A$2:$A$13,Emission_Factors!$C$2:$C$13)+K32*_xlfn.XLOOKUP("Fiber_Virgin",Emission_Factors!$A$2:$A$13,Emission_Factors!$C$2:$C$13)+L32*_xlfn.XLOOKUP("Superplasticizer",Emission_Factors!$A$2:$A$13,Emission_Factors!$C$2:$C$13)</f>
        <v>427.17578679999997</v>
      </c>
      <c r="S32" s="4">
        <f>B32*_xlfn.XLOOKUP("Cement",Emission_Factors!$A$2:$A$13,Emission_Factors!$C$2:$C$13)+C32*_xlfn.XLOOKUP("Slag",Emission_Factors!$A$2:$A$13,Emission_Factors!$C$2:$C$13)+D32*_xlfn.XLOOKUP("Silica_Fume",Emission_Factors!$A$2:$A$13,Emission_Factors!$C$2:$C$13)+E32*_xlfn.XLOOKUP("Limestone_Powder",Emission_Factors!$A$2:$A$13,Emission_Factors!$C$2:$C$13)+F32*_xlfn.XLOOKUP("Quartz_Powder",Emission_Factors!$A$2:$A$13,Emission_Factors!$C$2:$C$13)+G32*_xlfn.XLOOKUP("Fly_Ash",Emission_Factors!$A$2:$A$13,Emission_Factors!$C$2:$C$13)+H32*_xlfn.XLOOKUP("Nano_Silica",Emission_Factors!$A$2:$A$13,Emission_Factors!$C$2:$C$13)+I32*_xlfn.XLOOKUP("Aggregate",Emission_Factors!$A$2:$A$13,Emission_Factors!$C$2:$C$13)+J32*_xlfn.XLOOKUP("Water",Emission_Factors!$A$2:$A$13,Emission_Factors!$C$2:$C$13)+K32*_xlfn.XLOOKUP("Fiber_Recycled",Emission_Factors!$A$2:$A$13,Emission_Factors!$C$2:$C$13)+L32*_xlfn.XLOOKUP("Superplasticizer",Emission_Factors!$A$2:$A$13,Emission_Factors!$C$2:$C$13)</f>
        <v>427.17578679999997</v>
      </c>
    </row>
    <row r="33" spans="1:19" x14ac:dyDescent="0.25">
      <c r="A33">
        <v>156</v>
      </c>
      <c r="B33">
        <v>541.75</v>
      </c>
      <c r="C33">
        <v>0</v>
      </c>
      <c r="D33">
        <v>0</v>
      </c>
      <c r="E33">
        <v>0</v>
      </c>
      <c r="F33">
        <v>0</v>
      </c>
      <c r="G33">
        <v>0</v>
      </c>
      <c r="H33">
        <v>8.25</v>
      </c>
      <c r="I33">
        <v>1812</v>
      </c>
      <c r="J33">
        <v>137.5</v>
      </c>
      <c r="K33">
        <v>0</v>
      </c>
      <c r="L33">
        <v>12.65</v>
      </c>
      <c r="M33">
        <v>21</v>
      </c>
      <c r="N33">
        <v>28</v>
      </c>
      <c r="O33">
        <v>85</v>
      </c>
      <c r="P33">
        <v>85.356444999999994</v>
      </c>
      <c r="Q33">
        <v>-0.35644531299999999</v>
      </c>
      <c r="R33" s="4">
        <f>B33*_xlfn.XLOOKUP("Cement",Emission_Factors!$A$2:$A$13,Emission_Factors!$C$2:$C$13)+C33*_xlfn.XLOOKUP("Slag",Emission_Factors!$A$2:$A$13,Emission_Factors!$C$2:$C$13)+D33*_xlfn.XLOOKUP("Silica_Fume",Emission_Factors!$A$2:$A$13,Emission_Factors!$C$2:$C$13)+E33*_xlfn.XLOOKUP("Limestone_Powder",Emission_Factors!$A$2:$A$13,Emission_Factors!$C$2:$C$13)+F33*_xlfn.XLOOKUP("Quartz_Powder",Emission_Factors!$A$2:$A$13,Emission_Factors!$C$2:$C$13)+G33*_xlfn.XLOOKUP("Fly_Ash",Emission_Factors!$A$2:$A$13,Emission_Factors!$C$2:$C$13)+H33*_xlfn.XLOOKUP("Nano_Silica",Emission_Factors!$A$2:$A$13,Emission_Factors!$C$2:$C$13)+I33*_xlfn.XLOOKUP("Aggregate",Emission_Factors!$A$2:$A$13,Emission_Factors!$C$2:$C$13)+J33*_xlfn.XLOOKUP("Water",Emission_Factors!$A$2:$A$13,Emission_Factors!$C$2:$C$13)+K33*_xlfn.XLOOKUP("Fiber_Virgin",Emission_Factors!$A$2:$A$13,Emission_Factors!$C$2:$C$13)+L33*_xlfn.XLOOKUP("Superplasticizer",Emission_Factors!$A$2:$A$13,Emission_Factors!$C$2:$C$13)</f>
        <v>483.05604999999997</v>
      </c>
      <c r="S33" s="4">
        <f>B33*_xlfn.XLOOKUP("Cement",Emission_Factors!$A$2:$A$13,Emission_Factors!$C$2:$C$13)+C33*_xlfn.XLOOKUP("Slag",Emission_Factors!$A$2:$A$13,Emission_Factors!$C$2:$C$13)+D33*_xlfn.XLOOKUP("Silica_Fume",Emission_Factors!$A$2:$A$13,Emission_Factors!$C$2:$C$13)+E33*_xlfn.XLOOKUP("Limestone_Powder",Emission_Factors!$A$2:$A$13,Emission_Factors!$C$2:$C$13)+F33*_xlfn.XLOOKUP("Quartz_Powder",Emission_Factors!$A$2:$A$13,Emission_Factors!$C$2:$C$13)+G33*_xlfn.XLOOKUP("Fly_Ash",Emission_Factors!$A$2:$A$13,Emission_Factors!$C$2:$C$13)+H33*_xlfn.XLOOKUP("Nano_Silica",Emission_Factors!$A$2:$A$13,Emission_Factors!$C$2:$C$13)+I33*_xlfn.XLOOKUP("Aggregate",Emission_Factors!$A$2:$A$13,Emission_Factors!$C$2:$C$13)+J33*_xlfn.XLOOKUP("Water",Emission_Factors!$A$2:$A$13,Emission_Factors!$C$2:$C$13)+K33*_xlfn.XLOOKUP("Fiber_Recycled",Emission_Factors!$A$2:$A$13,Emission_Factors!$C$2:$C$13)+L33*_xlfn.XLOOKUP("Superplasticizer",Emission_Factors!$A$2:$A$13,Emission_Factors!$C$2:$C$13)</f>
        <v>483.05604999999997</v>
      </c>
    </row>
    <row r="34" spans="1:19" x14ac:dyDescent="0.25">
      <c r="A34">
        <v>160</v>
      </c>
      <c r="B34">
        <v>550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1830</v>
      </c>
      <c r="J34">
        <v>137.5</v>
      </c>
      <c r="K34">
        <v>0</v>
      </c>
      <c r="L34">
        <v>6.6</v>
      </c>
      <c r="M34">
        <v>21</v>
      </c>
      <c r="N34">
        <v>28</v>
      </c>
      <c r="O34">
        <v>85.5</v>
      </c>
      <c r="P34">
        <v>86.603110000000001</v>
      </c>
      <c r="Q34">
        <v>-1.1031112670000001</v>
      </c>
      <c r="R34" s="4">
        <f>B34*_xlfn.XLOOKUP("Cement",Emission_Factors!$A$2:$A$13,Emission_Factors!$C$2:$C$13)+C34*_xlfn.XLOOKUP("Slag",Emission_Factors!$A$2:$A$13,Emission_Factors!$C$2:$C$13)+D34*_xlfn.XLOOKUP("Silica_Fume",Emission_Factors!$A$2:$A$13,Emission_Factors!$C$2:$C$13)+E34*_xlfn.XLOOKUP("Limestone_Powder",Emission_Factors!$A$2:$A$13,Emission_Factors!$C$2:$C$13)+F34*_xlfn.XLOOKUP("Quartz_Powder",Emission_Factors!$A$2:$A$13,Emission_Factors!$C$2:$C$13)+G34*_xlfn.XLOOKUP("Fly_Ash",Emission_Factors!$A$2:$A$13,Emission_Factors!$C$2:$C$13)+H34*_xlfn.XLOOKUP("Nano_Silica",Emission_Factors!$A$2:$A$13,Emission_Factors!$C$2:$C$13)+I34*_xlfn.XLOOKUP("Aggregate",Emission_Factors!$A$2:$A$13,Emission_Factors!$C$2:$C$13)+J34*_xlfn.XLOOKUP("Water",Emission_Factors!$A$2:$A$13,Emission_Factors!$C$2:$C$13)+K34*_xlfn.XLOOKUP("Fiber_Virgin",Emission_Factors!$A$2:$A$13,Emission_Factors!$C$2:$C$13)+L34*_xlfn.XLOOKUP("Superplasticizer",Emission_Factors!$A$2:$A$13,Emission_Factors!$C$2:$C$13)</f>
        <v>471.90734999999995</v>
      </c>
      <c r="S34" s="4">
        <f>B34*_xlfn.XLOOKUP("Cement",Emission_Factors!$A$2:$A$13,Emission_Factors!$C$2:$C$13)+C34*_xlfn.XLOOKUP("Slag",Emission_Factors!$A$2:$A$13,Emission_Factors!$C$2:$C$13)+D34*_xlfn.XLOOKUP("Silica_Fume",Emission_Factors!$A$2:$A$13,Emission_Factors!$C$2:$C$13)+E34*_xlfn.XLOOKUP("Limestone_Powder",Emission_Factors!$A$2:$A$13,Emission_Factors!$C$2:$C$13)+F34*_xlfn.XLOOKUP("Quartz_Powder",Emission_Factors!$A$2:$A$13,Emission_Factors!$C$2:$C$13)+G34*_xlfn.XLOOKUP("Fly_Ash",Emission_Factors!$A$2:$A$13,Emission_Factors!$C$2:$C$13)+H34*_xlfn.XLOOKUP("Nano_Silica",Emission_Factors!$A$2:$A$13,Emission_Factors!$C$2:$C$13)+I34*_xlfn.XLOOKUP("Aggregate",Emission_Factors!$A$2:$A$13,Emission_Factors!$C$2:$C$13)+J34*_xlfn.XLOOKUP("Water",Emission_Factors!$A$2:$A$13,Emission_Factors!$C$2:$C$13)+K34*_xlfn.XLOOKUP("Fiber_Recycled",Emission_Factors!$A$2:$A$13,Emission_Factors!$C$2:$C$13)+L34*_xlfn.XLOOKUP("Superplasticizer",Emission_Factors!$A$2:$A$13,Emission_Factors!$C$2:$C$13)</f>
        <v>471.90734999999995</v>
      </c>
    </row>
    <row r="35" spans="1:19" x14ac:dyDescent="0.25">
      <c r="A35">
        <v>161</v>
      </c>
      <c r="B35">
        <v>874.9</v>
      </c>
      <c r="C35">
        <v>0</v>
      </c>
      <c r="D35">
        <v>43.7</v>
      </c>
      <c r="E35">
        <v>0</v>
      </c>
      <c r="F35">
        <v>0</v>
      </c>
      <c r="G35">
        <v>0</v>
      </c>
      <c r="H35">
        <v>0</v>
      </c>
      <c r="I35">
        <v>1273.4000000000001</v>
      </c>
      <c r="J35">
        <v>202.1</v>
      </c>
      <c r="K35">
        <v>0</v>
      </c>
      <c r="L35">
        <v>45.9</v>
      </c>
      <c r="M35">
        <v>21</v>
      </c>
      <c r="N35">
        <v>7</v>
      </c>
      <c r="O35">
        <v>85.91</v>
      </c>
      <c r="P35">
        <v>92.370186000000004</v>
      </c>
      <c r="Q35">
        <v>-6.4601858520000004</v>
      </c>
      <c r="R35" s="4">
        <f>B35*_xlfn.XLOOKUP("Cement",Emission_Factors!$A$2:$A$13,Emission_Factors!$C$2:$C$13)+C35*_xlfn.XLOOKUP("Slag",Emission_Factors!$A$2:$A$13,Emission_Factors!$C$2:$C$13)+D35*_xlfn.XLOOKUP("Silica_Fume",Emission_Factors!$A$2:$A$13,Emission_Factors!$C$2:$C$13)+E35*_xlfn.XLOOKUP("Limestone_Powder",Emission_Factors!$A$2:$A$13,Emission_Factors!$C$2:$C$13)+F35*_xlfn.XLOOKUP("Quartz_Powder",Emission_Factors!$A$2:$A$13,Emission_Factors!$C$2:$C$13)+G35*_xlfn.XLOOKUP("Fly_Ash",Emission_Factors!$A$2:$A$13,Emission_Factors!$C$2:$C$13)+H35*_xlfn.XLOOKUP("Nano_Silica",Emission_Factors!$A$2:$A$13,Emission_Factors!$C$2:$C$13)+I35*_xlfn.XLOOKUP("Aggregate",Emission_Factors!$A$2:$A$13,Emission_Factors!$C$2:$C$13)+J35*_xlfn.XLOOKUP("Water",Emission_Factors!$A$2:$A$13,Emission_Factors!$C$2:$C$13)+K35*_xlfn.XLOOKUP("Fiber_Virgin",Emission_Factors!$A$2:$A$13,Emission_Factors!$C$2:$C$13)+L35*_xlfn.XLOOKUP("Superplasticizer",Emission_Factors!$A$2:$A$13,Emission_Factors!$C$2:$C$13)</f>
        <v>776.51501159999987</v>
      </c>
      <c r="S35" s="4">
        <f>B35*_xlfn.XLOOKUP("Cement",Emission_Factors!$A$2:$A$13,Emission_Factors!$C$2:$C$13)+C35*_xlfn.XLOOKUP("Slag",Emission_Factors!$A$2:$A$13,Emission_Factors!$C$2:$C$13)+D35*_xlfn.XLOOKUP("Silica_Fume",Emission_Factors!$A$2:$A$13,Emission_Factors!$C$2:$C$13)+E35*_xlfn.XLOOKUP("Limestone_Powder",Emission_Factors!$A$2:$A$13,Emission_Factors!$C$2:$C$13)+F35*_xlfn.XLOOKUP("Quartz_Powder",Emission_Factors!$A$2:$A$13,Emission_Factors!$C$2:$C$13)+G35*_xlfn.XLOOKUP("Fly_Ash",Emission_Factors!$A$2:$A$13,Emission_Factors!$C$2:$C$13)+H35*_xlfn.XLOOKUP("Nano_Silica",Emission_Factors!$A$2:$A$13,Emission_Factors!$C$2:$C$13)+I35*_xlfn.XLOOKUP("Aggregate",Emission_Factors!$A$2:$A$13,Emission_Factors!$C$2:$C$13)+J35*_xlfn.XLOOKUP("Water",Emission_Factors!$A$2:$A$13,Emission_Factors!$C$2:$C$13)+K35*_xlfn.XLOOKUP("Fiber_Recycled",Emission_Factors!$A$2:$A$13,Emission_Factors!$C$2:$C$13)+L35*_xlfn.XLOOKUP("Superplasticizer",Emission_Factors!$A$2:$A$13,Emission_Factors!$C$2:$C$13)</f>
        <v>776.51501159999987</v>
      </c>
    </row>
    <row r="36" spans="1:19" x14ac:dyDescent="0.25">
      <c r="A36">
        <v>162</v>
      </c>
      <c r="B36">
        <v>699.9</v>
      </c>
      <c r="C36">
        <v>0</v>
      </c>
      <c r="D36">
        <v>43.7</v>
      </c>
      <c r="E36">
        <v>0</v>
      </c>
      <c r="F36">
        <v>175</v>
      </c>
      <c r="G36">
        <v>0</v>
      </c>
      <c r="H36">
        <v>0</v>
      </c>
      <c r="I36">
        <v>1273.4000000000001</v>
      </c>
      <c r="J36">
        <v>202.1</v>
      </c>
      <c r="K36">
        <v>0</v>
      </c>
      <c r="L36">
        <v>45.9</v>
      </c>
      <c r="M36">
        <v>21</v>
      </c>
      <c r="N36">
        <v>7</v>
      </c>
      <c r="O36">
        <v>85.91</v>
      </c>
      <c r="P36">
        <v>89.048919999999995</v>
      </c>
      <c r="Q36">
        <v>-3.1389196780000002</v>
      </c>
      <c r="R36" s="4">
        <f>B36*_xlfn.XLOOKUP("Cement",Emission_Factors!$A$2:$A$13,Emission_Factors!$C$2:$C$13)+C36*_xlfn.XLOOKUP("Slag",Emission_Factors!$A$2:$A$13,Emission_Factors!$C$2:$C$13)+D36*_xlfn.XLOOKUP("Silica_Fume",Emission_Factors!$A$2:$A$13,Emission_Factors!$C$2:$C$13)+E36*_xlfn.XLOOKUP("Limestone_Powder",Emission_Factors!$A$2:$A$13,Emission_Factors!$C$2:$C$13)+F36*_xlfn.XLOOKUP("Quartz_Powder",Emission_Factors!$A$2:$A$13,Emission_Factors!$C$2:$C$13)+G36*_xlfn.XLOOKUP("Fly_Ash",Emission_Factors!$A$2:$A$13,Emission_Factors!$C$2:$C$13)+H36*_xlfn.XLOOKUP("Nano_Silica",Emission_Factors!$A$2:$A$13,Emission_Factors!$C$2:$C$13)+I36*_xlfn.XLOOKUP("Aggregate",Emission_Factors!$A$2:$A$13,Emission_Factors!$C$2:$C$13)+J36*_xlfn.XLOOKUP("Water",Emission_Factors!$A$2:$A$13,Emission_Factors!$C$2:$C$13)+K36*_xlfn.XLOOKUP("Fiber_Virgin",Emission_Factors!$A$2:$A$13,Emission_Factors!$C$2:$C$13)+L36*_xlfn.XLOOKUP("Superplasticizer",Emission_Factors!$A$2:$A$13,Emission_Factors!$C$2:$C$13)</f>
        <v>635.4125115999999</v>
      </c>
      <c r="S36" s="4">
        <f>B36*_xlfn.XLOOKUP("Cement",Emission_Factors!$A$2:$A$13,Emission_Factors!$C$2:$C$13)+C36*_xlfn.XLOOKUP("Slag",Emission_Factors!$A$2:$A$13,Emission_Factors!$C$2:$C$13)+D36*_xlfn.XLOOKUP("Silica_Fume",Emission_Factors!$A$2:$A$13,Emission_Factors!$C$2:$C$13)+E36*_xlfn.XLOOKUP("Limestone_Powder",Emission_Factors!$A$2:$A$13,Emission_Factors!$C$2:$C$13)+F36*_xlfn.XLOOKUP("Quartz_Powder",Emission_Factors!$A$2:$A$13,Emission_Factors!$C$2:$C$13)+G36*_xlfn.XLOOKUP("Fly_Ash",Emission_Factors!$A$2:$A$13,Emission_Factors!$C$2:$C$13)+H36*_xlfn.XLOOKUP("Nano_Silica",Emission_Factors!$A$2:$A$13,Emission_Factors!$C$2:$C$13)+I36*_xlfn.XLOOKUP("Aggregate",Emission_Factors!$A$2:$A$13,Emission_Factors!$C$2:$C$13)+J36*_xlfn.XLOOKUP("Water",Emission_Factors!$A$2:$A$13,Emission_Factors!$C$2:$C$13)+K36*_xlfn.XLOOKUP("Fiber_Recycled",Emission_Factors!$A$2:$A$13,Emission_Factors!$C$2:$C$13)+L36*_xlfn.XLOOKUP("Superplasticizer",Emission_Factors!$A$2:$A$13,Emission_Factors!$C$2:$C$13)</f>
        <v>635.4125115999999</v>
      </c>
    </row>
    <row r="37" spans="1:19" x14ac:dyDescent="0.25">
      <c r="A37">
        <v>166</v>
      </c>
      <c r="B37">
        <v>545.875</v>
      </c>
      <c r="C37">
        <v>0</v>
      </c>
      <c r="D37">
        <v>0</v>
      </c>
      <c r="E37">
        <v>0</v>
      </c>
      <c r="F37">
        <v>0</v>
      </c>
      <c r="G37">
        <v>0</v>
      </c>
      <c r="H37">
        <v>4.125</v>
      </c>
      <c r="I37">
        <v>1820</v>
      </c>
      <c r="J37">
        <v>137.5</v>
      </c>
      <c r="K37">
        <v>0</v>
      </c>
      <c r="L37">
        <v>9.9</v>
      </c>
      <c r="M37">
        <v>21</v>
      </c>
      <c r="N37">
        <v>28</v>
      </c>
      <c r="O37">
        <v>86.7</v>
      </c>
      <c r="P37">
        <v>85.372510000000005</v>
      </c>
      <c r="Q37">
        <v>1.3274871829999999</v>
      </c>
      <c r="R37" s="4">
        <f>B37*_xlfn.XLOOKUP("Cement",Emission_Factors!$A$2:$A$13,Emission_Factors!$C$2:$C$13)+C37*_xlfn.XLOOKUP("Slag",Emission_Factors!$A$2:$A$13,Emission_Factors!$C$2:$C$13)+D37*_xlfn.XLOOKUP("Silica_Fume",Emission_Factors!$A$2:$A$13,Emission_Factors!$C$2:$C$13)+E37*_xlfn.XLOOKUP("Limestone_Powder",Emission_Factors!$A$2:$A$13,Emission_Factors!$C$2:$C$13)+F37*_xlfn.XLOOKUP("Quartz_Powder",Emission_Factors!$A$2:$A$13,Emission_Factors!$C$2:$C$13)+G37*_xlfn.XLOOKUP("Fly_Ash",Emission_Factors!$A$2:$A$13,Emission_Factors!$C$2:$C$13)+H37*_xlfn.XLOOKUP("Nano_Silica",Emission_Factors!$A$2:$A$13,Emission_Factors!$C$2:$C$13)+I37*_xlfn.XLOOKUP("Aggregate",Emission_Factors!$A$2:$A$13,Emission_Factors!$C$2:$C$13)+J37*_xlfn.XLOOKUP("Water",Emission_Factors!$A$2:$A$13,Emission_Factors!$C$2:$C$13)+K37*_xlfn.XLOOKUP("Fiber_Virgin",Emission_Factors!$A$2:$A$13,Emission_Factors!$C$2:$C$13)+L37*_xlfn.XLOOKUP("Superplasticizer",Emission_Factors!$A$2:$A$13,Emission_Factors!$C$2:$C$13)</f>
        <v>477.73629999999997</v>
      </c>
      <c r="S37" s="4">
        <f>B37*_xlfn.XLOOKUP("Cement",Emission_Factors!$A$2:$A$13,Emission_Factors!$C$2:$C$13)+C37*_xlfn.XLOOKUP("Slag",Emission_Factors!$A$2:$A$13,Emission_Factors!$C$2:$C$13)+D37*_xlfn.XLOOKUP("Silica_Fume",Emission_Factors!$A$2:$A$13,Emission_Factors!$C$2:$C$13)+E37*_xlfn.XLOOKUP("Limestone_Powder",Emission_Factors!$A$2:$A$13,Emission_Factors!$C$2:$C$13)+F37*_xlfn.XLOOKUP("Quartz_Powder",Emission_Factors!$A$2:$A$13,Emission_Factors!$C$2:$C$13)+G37*_xlfn.XLOOKUP("Fly_Ash",Emission_Factors!$A$2:$A$13,Emission_Factors!$C$2:$C$13)+H37*_xlfn.XLOOKUP("Nano_Silica",Emission_Factors!$A$2:$A$13,Emission_Factors!$C$2:$C$13)+I37*_xlfn.XLOOKUP("Aggregate",Emission_Factors!$A$2:$A$13,Emission_Factors!$C$2:$C$13)+J37*_xlfn.XLOOKUP("Water",Emission_Factors!$A$2:$A$13,Emission_Factors!$C$2:$C$13)+K37*_xlfn.XLOOKUP("Fiber_Recycled",Emission_Factors!$A$2:$A$13,Emission_Factors!$C$2:$C$13)+L37*_xlfn.XLOOKUP("Superplasticizer",Emission_Factors!$A$2:$A$13,Emission_Factors!$C$2:$C$13)</f>
        <v>477.73629999999997</v>
      </c>
    </row>
    <row r="38" spans="1:19" x14ac:dyDescent="0.25">
      <c r="A38">
        <v>171</v>
      </c>
      <c r="B38">
        <v>612.4</v>
      </c>
      <c r="C38">
        <v>0</v>
      </c>
      <c r="D38">
        <v>43.7</v>
      </c>
      <c r="E38">
        <v>262.5</v>
      </c>
      <c r="F38">
        <v>0</v>
      </c>
      <c r="G38">
        <v>0</v>
      </c>
      <c r="H38">
        <v>0</v>
      </c>
      <c r="I38">
        <v>1273.4000000000001</v>
      </c>
      <c r="J38">
        <v>202.1</v>
      </c>
      <c r="K38">
        <v>0</v>
      </c>
      <c r="L38">
        <v>45.9</v>
      </c>
      <c r="M38">
        <v>21</v>
      </c>
      <c r="N38">
        <v>28</v>
      </c>
      <c r="O38">
        <v>88.59</v>
      </c>
      <c r="P38">
        <v>100.06894</v>
      </c>
      <c r="Q38">
        <v>-11.47893921</v>
      </c>
      <c r="R38" s="4">
        <f>B38*_xlfn.XLOOKUP("Cement",Emission_Factors!$A$2:$A$13,Emission_Factors!$C$2:$C$13)+C38*_xlfn.XLOOKUP("Slag",Emission_Factors!$A$2:$A$13,Emission_Factors!$C$2:$C$13)+D38*_xlfn.XLOOKUP("Silica_Fume",Emission_Factors!$A$2:$A$13,Emission_Factors!$C$2:$C$13)+E38*_xlfn.XLOOKUP("Limestone_Powder",Emission_Factors!$A$2:$A$13,Emission_Factors!$C$2:$C$13)+F38*_xlfn.XLOOKUP("Quartz_Powder",Emission_Factors!$A$2:$A$13,Emission_Factors!$C$2:$C$13)+G38*_xlfn.XLOOKUP("Fly_Ash",Emission_Factors!$A$2:$A$13,Emission_Factors!$C$2:$C$13)+H38*_xlfn.XLOOKUP("Nano_Silica",Emission_Factors!$A$2:$A$13,Emission_Factors!$C$2:$C$13)+I38*_xlfn.XLOOKUP("Aggregate",Emission_Factors!$A$2:$A$13,Emission_Factors!$C$2:$C$13)+J38*_xlfn.XLOOKUP("Water",Emission_Factors!$A$2:$A$13,Emission_Factors!$C$2:$C$13)+K38*_xlfn.XLOOKUP("Fiber_Virgin",Emission_Factors!$A$2:$A$13,Emission_Factors!$C$2:$C$13)+L38*_xlfn.XLOOKUP("Superplasticizer",Emission_Factors!$A$2:$A$13,Emission_Factors!$C$2:$C$13)</f>
        <v>563.10251159999996</v>
      </c>
      <c r="S38" s="4">
        <f>B38*_xlfn.XLOOKUP("Cement",Emission_Factors!$A$2:$A$13,Emission_Factors!$C$2:$C$13)+C38*_xlfn.XLOOKUP("Slag",Emission_Factors!$A$2:$A$13,Emission_Factors!$C$2:$C$13)+D38*_xlfn.XLOOKUP("Silica_Fume",Emission_Factors!$A$2:$A$13,Emission_Factors!$C$2:$C$13)+E38*_xlfn.XLOOKUP("Limestone_Powder",Emission_Factors!$A$2:$A$13,Emission_Factors!$C$2:$C$13)+F38*_xlfn.XLOOKUP("Quartz_Powder",Emission_Factors!$A$2:$A$13,Emission_Factors!$C$2:$C$13)+G38*_xlfn.XLOOKUP("Fly_Ash",Emission_Factors!$A$2:$A$13,Emission_Factors!$C$2:$C$13)+H38*_xlfn.XLOOKUP("Nano_Silica",Emission_Factors!$A$2:$A$13,Emission_Factors!$C$2:$C$13)+I38*_xlfn.XLOOKUP("Aggregate",Emission_Factors!$A$2:$A$13,Emission_Factors!$C$2:$C$13)+J38*_xlfn.XLOOKUP("Water",Emission_Factors!$A$2:$A$13,Emission_Factors!$C$2:$C$13)+K38*_xlfn.XLOOKUP("Fiber_Recycled",Emission_Factors!$A$2:$A$13,Emission_Factors!$C$2:$C$13)+L38*_xlfn.XLOOKUP("Superplasticizer",Emission_Factors!$A$2:$A$13,Emission_Factors!$C$2:$C$13)</f>
        <v>563.10251159999996</v>
      </c>
    </row>
    <row r="39" spans="1:19" x14ac:dyDescent="0.25">
      <c r="A39">
        <v>187</v>
      </c>
      <c r="B39">
        <v>541.75</v>
      </c>
      <c r="C39">
        <v>0</v>
      </c>
      <c r="D39">
        <v>0</v>
      </c>
      <c r="E39">
        <v>0</v>
      </c>
      <c r="F39">
        <v>0</v>
      </c>
      <c r="G39">
        <v>0</v>
      </c>
      <c r="H39">
        <v>8.25</v>
      </c>
      <c r="I39">
        <v>1812</v>
      </c>
      <c r="J39">
        <v>137.5</v>
      </c>
      <c r="K39">
        <v>0</v>
      </c>
      <c r="L39">
        <v>12.65</v>
      </c>
      <c r="M39">
        <v>21</v>
      </c>
      <c r="N39">
        <v>90</v>
      </c>
      <c r="O39">
        <v>92.6</v>
      </c>
      <c r="P39">
        <v>92.066180000000003</v>
      </c>
      <c r="Q39">
        <v>0.53382263200000002</v>
      </c>
      <c r="R39" s="4">
        <f>B39*_xlfn.XLOOKUP("Cement",Emission_Factors!$A$2:$A$13,Emission_Factors!$C$2:$C$13)+C39*_xlfn.XLOOKUP("Slag",Emission_Factors!$A$2:$A$13,Emission_Factors!$C$2:$C$13)+D39*_xlfn.XLOOKUP("Silica_Fume",Emission_Factors!$A$2:$A$13,Emission_Factors!$C$2:$C$13)+E39*_xlfn.XLOOKUP("Limestone_Powder",Emission_Factors!$A$2:$A$13,Emission_Factors!$C$2:$C$13)+F39*_xlfn.XLOOKUP("Quartz_Powder",Emission_Factors!$A$2:$A$13,Emission_Factors!$C$2:$C$13)+G39*_xlfn.XLOOKUP("Fly_Ash",Emission_Factors!$A$2:$A$13,Emission_Factors!$C$2:$C$13)+H39*_xlfn.XLOOKUP("Nano_Silica",Emission_Factors!$A$2:$A$13,Emission_Factors!$C$2:$C$13)+I39*_xlfn.XLOOKUP("Aggregate",Emission_Factors!$A$2:$A$13,Emission_Factors!$C$2:$C$13)+J39*_xlfn.XLOOKUP("Water",Emission_Factors!$A$2:$A$13,Emission_Factors!$C$2:$C$13)+K39*_xlfn.XLOOKUP("Fiber_Virgin",Emission_Factors!$A$2:$A$13,Emission_Factors!$C$2:$C$13)+L39*_xlfn.XLOOKUP("Superplasticizer",Emission_Factors!$A$2:$A$13,Emission_Factors!$C$2:$C$13)</f>
        <v>483.05604999999997</v>
      </c>
      <c r="S39" s="4">
        <f>B39*_xlfn.XLOOKUP("Cement",Emission_Factors!$A$2:$A$13,Emission_Factors!$C$2:$C$13)+C39*_xlfn.XLOOKUP("Slag",Emission_Factors!$A$2:$A$13,Emission_Factors!$C$2:$C$13)+D39*_xlfn.XLOOKUP("Silica_Fume",Emission_Factors!$A$2:$A$13,Emission_Factors!$C$2:$C$13)+E39*_xlfn.XLOOKUP("Limestone_Powder",Emission_Factors!$A$2:$A$13,Emission_Factors!$C$2:$C$13)+F39*_xlfn.XLOOKUP("Quartz_Powder",Emission_Factors!$A$2:$A$13,Emission_Factors!$C$2:$C$13)+G39*_xlfn.XLOOKUP("Fly_Ash",Emission_Factors!$A$2:$A$13,Emission_Factors!$C$2:$C$13)+H39*_xlfn.XLOOKUP("Nano_Silica",Emission_Factors!$A$2:$A$13,Emission_Factors!$C$2:$C$13)+I39*_xlfn.XLOOKUP("Aggregate",Emission_Factors!$A$2:$A$13,Emission_Factors!$C$2:$C$13)+J39*_xlfn.XLOOKUP("Water",Emission_Factors!$A$2:$A$13,Emission_Factors!$C$2:$C$13)+K39*_xlfn.XLOOKUP("Fiber_Recycled",Emission_Factors!$A$2:$A$13,Emission_Factors!$C$2:$C$13)+L39*_xlfn.XLOOKUP("Superplasticizer",Emission_Factors!$A$2:$A$13,Emission_Factors!$C$2:$C$13)</f>
        <v>483.05604999999997</v>
      </c>
    </row>
    <row r="40" spans="1:19" x14ac:dyDescent="0.25">
      <c r="A40">
        <v>189</v>
      </c>
      <c r="B40">
        <v>612.4</v>
      </c>
      <c r="C40">
        <v>0</v>
      </c>
      <c r="D40">
        <v>43.7</v>
      </c>
      <c r="E40">
        <v>262.5</v>
      </c>
      <c r="F40">
        <v>0</v>
      </c>
      <c r="G40">
        <v>0</v>
      </c>
      <c r="H40">
        <v>0</v>
      </c>
      <c r="I40">
        <v>1273.4000000000001</v>
      </c>
      <c r="J40">
        <v>202.1</v>
      </c>
      <c r="K40">
        <v>78</v>
      </c>
      <c r="L40">
        <v>45.9</v>
      </c>
      <c r="M40">
        <v>21</v>
      </c>
      <c r="N40">
        <v>7</v>
      </c>
      <c r="O40">
        <v>92.62</v>
      </c>
      <c r="P40">
        <v>98.12961</v>
      </c>
      <c r="Q40">
        <v>-5.5096081540000004</v>
      </c>
      <c r="R40" s="4">
        <f>B40*_xlfn.XLOOKUP("Cement",Emission_Factors!$A$2:$A$13,Emission_Factors!$C$2:$C$13)+C40*_xlfn.XLOOKUP("Slag",Emission_Factors!$A$2:$A$13,Emission_Factors!$C$2:$C$13)+D40*_xlfn.XLOOKUP("Silica_Fume",Emission_Factors!$A$2:$A$13,Emission_Factors!$C$2:$C$13)+E40*_xlfn.XLOOKUP("Limestone_Powder",Emission_Factors!$A$2:$A$13,Emission_Factors!$C$2:$C$13)+F40*_xlfn.XLOOKUP("Quartz_Powder",Emission_Factors!$A$2:$A$13,Emission_Factors!$C$2:$C$13)+G40*_xlfn.XLOOKUP("Fly_Ash",Emission_Factors!$A$2:$A$13,Emission_Factors!$C$2:$C$13)+H40*_xlfn.XLOOKUP("Nano_Silica",Emission_Factors!$A$2:$A$13,Emission_Factors!$C$2:$C$13)+I40*_xlfn.XLOOKUP("Aggregate",Emission_Factors!$A$2:$A$13,Emission_Factors!$C$2:$C$13)+J40*_xlfn.XLOOKUP("Water",Emission_Factors!$A$2:$A$13,Emission_Factors!$C$2:$C$13)+K40*_xlfn.XLOOKUP("Fiber_Virgin",Emission_Factors!$A$2:$A$13,Emission_Factors!$C$2:$C$13)+L40*_xlfn.XLOOKUP("Superplasticizer",Emission_Factors!$A$2:$A$13,Emission_Factors!$C$2:$C$13)</f>
        <v>758.10251159999996</v>
      </c>
      <c r="S40" s="4">
        <f>B40*_xlfn.XLOOKUP("Cement",Emission_Factors!$A$2:$A$13,Emission_Factors!$C$2:$C$13)+C40*_xlfn.XLOOKUP("Slag",Emission_Factors!$A$2:$A$13,Emission_Factors!$C$2:$C$13)+D40*_xlfn.XLOOKUP("Silica_Fume",Emission_Factors!$A$2:$A$13,Emission_Factors!$C$2:$C$13)+E40*_xlfn.XLOOKUP("Limestone_Powder",Emission_Factors!$A$2:$A$13,Emission_Factors!$C$2:$C$13)+F40*_xlfn.XLOOKUP("Quartz_Powder",Emission_Factors!$A$2:$A$13,Emission_Factors!$C$2:$C$13)+G40*_xlfn.XLOOKUP("Fly_Ash",Emission_Factors!$A$2:$A$13,Emission_Factors!$C$2:$C$13)+H40*_xlfn.XLOOKUP("Nano_Silica",Emission_Factors!$A$2:$A$13,Emission_Factors!$C$2:$C$13)+I40*_xlfn.XLOOKUP("Aggregate",Emission_Factors!$A$2:$A$13,Emission_Factors!$C$2:$C$13)+J40*_xlfn.XLOOKUP("Water",Emission_Factors!$A$2:$A$13,Emission_Factors!$C$2:$C$13)+K40*_xlfn.XLOOKUP("Fiber_Recycled",Emission_Factors!$A$2:$A$13,Emission_Factors!$C$2:$C$13)+L40*_xlfn.XLOOKUP("Superplasticizer",Emission_Factors!$A$2:$A$13,Emission_Factors!$C$2:$C$13)</f>
        <v>633.3025116</v>
      </c>
    </row>
    <row r="41" spans="1:19" x14ac:dyDescent="0.25">
      <c r="A41">
        <v>191</v>
      </c>
      <c r="B41">
        <v>858</v>
      </c>
      <c r="C41">
        <v>0</v>
      </c>
      <c r="D41">
        <v>216</v>
      </c>
      <c r="E41">
        <v>0</v>
      </c>
      <c r="F41">
        <v>0</v>
      </c>
      <c r="G41">
        <v>0</v>
      </c>
      <c r="H41">
        <v>5.4</v>
      </c>
      <c r="I41">
        <v>1079</v>
      </c>
      <c r="J41">
        <v>177</v>
      </c>
      <c r="K41">
        <v>0</v>
      </c>
      <c r="L41">
        <v>21.6</v>
      </c>
      <c r="M41">
        <v>23</v>
      </c>
      <c r="N41">
        <v>7</v>
      </c>
      <c r="O41">
        <v>92.79</v>
      </c>
      <c r="P41">
        <v>96.061170000000004</v>
      </c>
      <c r="Q41">
        <v>-3.2711724850000001</v>
      </c>
      <c r="R41" s="4">
        <f>B41*_xlfn.XLOOKUP("Cement",Emission_Factors!$A$2:$A$13,Emission_Factors!$C$2:$C$13)+C41*_xlfn.XLOOKUP("Slag",Emission_Factors!$A$2:$A$13,Emission_Factors!$C$2:$C$13)+D41*_xlfn.XLOOKUP("Silica_Fume",Emission_Factors!$A$2:$A$13,Emission_Factors!$C$2:$C$13)+E41*_xlfn.XLOOKUP("Limestone_Powder",Emission_Factors!$A$2:$A$13,Emission_Factors!$C$2:$C$13)+F41*_xlfn.XLOOKUP("Quartz_Powder",Emission_Factors!$A$2:$A$13,Emission_Factors!$C$2:$C$13)+G41*_xlfn.XLOOKUP("Fly_Ash",Emission_Factors!$A$2:$A$13,Emission_Factors!$C$2:$C$13)+H41*_xlfn.XLOOKUP("Nano_Silica",Emission_Factors!$A$2:$A$13,Emission_Factors!$C$2:$C$13)+I41*_xlfn.XLOOKUP("Aggregate",Emission_Factors!$A$2:$A$13,Emission_Factors!$C$2:$C$13)+J41*_xlfn.XLOOKUP("Water",Emission_Factors!$A$2:$A$13,Emission_Factors!$C$2:$C$13)+K41*_xlfn.XLOOKUP("Fiber_Virgin",Emission_Factors!$A$2:$A$13,Emission_Factors!$C$2:$C$13)+L41*_xlfn.XLOOKUP("Superplasticizer",Emission_Factors!$A$2:$A$13,Emission_Factors!$C$2:$C$13)</f>
        <v>749.08409199999994</v>
      </c>
      <c r="S41" s="4">
        <f>B41*_xlfn.XLOOKUP("Cement",Emission_Factors!$A$2:$A$13,Emission_Factors!$C$2:$C$13)+C41*_xlfn.XLOOKUP("Slag",Emission_Factors!$A$2:$A$13,Emission_Factors!$C$2:$C$13)+D41*_xlfn.XLOOKUP("Silica_Fume",Emission_Factors!$A$2:$A$13,Emission_Factors!$C$2:$C$13)+E41*_xlfn.XLOOKUP("Limestone_Powder",Emission_Factors!$A$2:$A$13,Emission_Factors!$C$2:$C$13)+F41*_xlfn.XLOOKUP("Quartz_Powder",Emission_Factors!$A$2:$A$13,Emission_Factors!$C$2:$C$13)+G41*_xlfn.XLOOKUP("Fly_Ash",Emission_Factors!$A$2:$A$13,Emission_Factors!$C$2:$C$13)+H41*_xlfn.XLOOKUP("Nano_Silica",Emission_Factors!$A$2:$A$13,Emission_Factors!$C$2:$C$13)+I41*_xlfn.XLOOKUP("Aggregate",Emission_Factors!$A$2:$A$13,Emission_Factors!$C$2:$C$13)+J41*_xlfn.XLOOKUP("Water",Emission_Factors!$A$2:$A$13,Emission_Factors!$C$2:$C$13)+K41*_xlfn.XLOOKUP("Fiber_Recycled",Emission_Factors!$A$2:$A$13,Emission_Factors!$C$2:$C$13)+L41*_xlfn.XLOOKUP("Superplasticizer",Emission_Factors!$A$2:$A$13,Emission_Factors!$C$2:$C$13)</f>
        <v>749.08409199999994</v>
      </c>
    </row>
    <row r="42" spans="1:19" x14ac:dyDescent="0.25">
      <c r="A42">
        <v>200</v>
      </c>
      <c r="B42">
        <v>784</v>
      </c>
      <c r="C42">
        <v>0</v>
      </c>
      <c r="D42">
        <v>0</v>
      </c>
      <c r="E42">
        <v>0</v>
      </c>
      <c r="F42">
        <v>0</v>
      </c>
      <c r="G42">
        <v>0</v>
      </c>
      <c r="H42">
        <v>16</v>
      </c>
      <c r="I42">
        <v>1430.2</v>
      </c>
      <c r="J42">
        <v>160</v>
      </c>
      <c r="K42">
        <v>0</v>
      </c>
      <c r="L42">
        <v>36</v>
      </c>
      <c r="M42">
        <v>23</v>
      </c>
      <c r="N42">
        <v>3</v>
      </c>
      <c r="O42">
        <v>95.4</v>
      </c>
      <c r="P42">
        <v>96.965100000000007</v>
      </c>
      <c r="Q42">
        <v>-1.565103149</v>
      </c>
      <c r="R42" s="4">
        <f>B42*_xlfn.XLOOKUP("Cement",Emission_Factors!$A$2:$A$13,Emission_Factors!$C$2:$C$13)+C42*_xlfn.XLOOKUP("Slag",Emission_Factors!$A$2:$A$13,Emission_Factors!$C$2:$C$13)+D42*_xlfn.XLOOKUP("Silica_Fume",Emission_Factors!$A$2:$A$13,Emission_Factors!$C$2:$C$13)+E42*_xlfn.XLOOKUP("Limestone_Powder",Emission_Factors!$A$2:$A$13,Emission_Factors!$C$2:$C$13)+F42*_xlfn.XLOOKUP("Quartz_Powder",Emission_Factors!$A$2:$A$13,Emission_Factors!$C$2:$C$13)+G42*_xlfn.XLOOKUP("Fly_Ash",Emission_Factors!$A$2:$A$13,Emission_Factors!$C$2:$C$13)+H42*_xlfn.XLOOKUP("Nano_Silica",Emission_Factors!$A$2:$A$13,Emission_Factors!$C$2:$C$13)+I42*_xlfn.XLOOKUP("Aggregate",Emission_Factors!$A$2:$A$13,Emission_Factors!$C$2:$C$13)+J42*_xlfn.XLOOKUP("Water",Emission_Factors!$A$2:$A$13,Emission_Factors!$C$2:$C$13)+K42*_xlfn.XLOOKUP("Fiber_Virgin",Emission_Factors!$A$2:$A$13,Emission_Factors!$C$2:$C$13)+L42*_xlfn.XLOOKUP("Superplasticizer",Emission_Factors!$A$2:$A$13,Emission_Factors!$C$2:$C$13)</f>
        <v>715.88635999999985</v>
      </c>
      <c r="S42" s="4">
        <f>B42*_xlfn.XLOOKUP("Cement",Emission_Factors!$A$2:$A$13,Emission_Factors!$C$2:$C$13)+C42*_xlfn.XLOOKUP("Slag",Emission_Factors!$A$2:$A$13,Emission_Factors!$C$2:$C$13)+D42*_xlfn.XLOOKUP("Silica_Fume",Emission_Factors!$A$2:$A$13,Emission_Factors!$C$2:$C$13)+E42*_xlfn.XLOOKUP("Limestone_Powder",Emission_Factors!$A$2:$A$13,Emission_Factors!$C$2:$C$13)+F42*_xlfn.XLOOKUP("Quartz_Powder",Emission_Factors!$A$2:$A$13,Emission_Factors!$C$2:$C$13)+G42*_xlfn.XLOOKUP("Fly_Ash",Emission_Factors!$A$2:$A$13,Emission_Factors!$C$2:$C$13)+H42*_xlfn.XLOOKUP("Nano_Silica",Emission_Factors!$A$2:$A$13,Emission_Factors!$C$2:$C$13)+I42*_xlfn.XLOOKUP("Aggregate",Emission_Factors!$A$2:$A$13,Emission_Factors!$C$2:$C$13)+J42*_xlfn.XLOOKUP("Water",Emission_Factors!$A$2:$A$13,Emission_Factors!$C$2:$C$13)+K42*_xlfn.XLOOKUP("Fiber_Recycled",Emission_Factors!$A$2:$A$13,Emission_Factors!$C$2:$C$13)+L42*_xlfn.XLOOKUP("Superplasticizer",Emission_Factors!$A$2:$A$13,Emission_Factors!$C$2:$C$13)</f>
        <v>715.88635999999985</v>
      </c>
    </row>
    <row r="43" spans="1:19" x14ac:dyDescent="0.25">
      <c r="A43">
        <v>201</v>
      </c>
      <c r="B43">
        <v>890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1231</v>
      </c>
      <c r="J43">
        <v>178</v>
      </c>
      <c r="K43">
        <v>0</v>
      </c>
      <c r="L43">
        <v>30.2</v>
      </c>
      <c r="M43">
        <v>21</v>
      </c>
      <c r="N43">
        <v>7</v>
      </c>
      <c r="O43">
        <v>95.7</v>
      </c>
      <c r="P43">
        <v>97.467370000000003</v>
      </c>
      <c r="Q43">
        <v>-1.7673690799999999</v>
      </c>
      <c r="R43" s="4">
        <f>B43*_xlfn.XLOOKUP("Cement",Emission_Factors!$A$2:$A$13,Emission_Factors!$C$2:$C$13)+C43*_xlfn.XLOOKUP("Slag",Emission_Factors!$A$2:$A$13,Emission_Factors!$C$2:$C$13)+D43*_xlfn.XLOOKUP("Silica_Fume",Emission_Factors!$A$2:$A$13,Emission_Factors!$C$2:$C$13)+E43*_xlfn.XLOOKUP("Limestone_Powder",Emission_Factors!$A$2:$A$13,Emission_Factors!$C$2:$C$13)+F43*_xlfn.XLOOKUP("Quartz_Powder",Emission_Factors!$A$2:$A$13,Emission_Factors!$C$2:$C$13)+G43*_xlfn.XLOOKUP("Fly_Ash",Emission_Factors!$A$2:$A$13,Emission_Factors!$C$2:$C$13)+H43*_xlfn.XLOOKUP("Nano_Silica",Emission_Factors!$A$2:$A$13,Emission_Factors!$C$2:$C$13)+I43*_xlfn.XLOOKUP("Aggregate",Emission_Factors!$A$2:$A$13,Emission_Factors!$C$2:$C$13)+J43*_xlfn.XLOOKUP("Water",Emission_Factors!$A$2:$A$13,Emission_Factors!$C$2:$C$13)+K43*_xlfn.XLOOKUP("Fiber_Virgin",Emission_Factors!$A$2:$A$13,Emission_Factors!$C$2:$C$13)+L43*_xlfn.XLOOKUP("Superplasticizer",Emission_Factors!$A$2:$A$13,Emission_Factors!$C$2:$C$13)</f>
        <v>773.39868799999988</v>
      </c>
      <c r="S43" s="4">
        <f>B43*_xlfn.XLOOKUP("Cement",Emission_Factors!$A$2:$A$13,Emission_Factors!$C$2:$C$13)+C43*_xlfn.XLOOKUP("Slag",Emission_Factors!$A$2:$A$13,Emission_Factors!$C$2:$C$13)+D43*_xlfn.XLOOKUP("Silica_Fume",Emission_Factors!$A$2:$A$13,Emission_Factors!$C$2:$C$13)+E43*_xlfn.XLOOKUP("Limestone_Powder",Emission_Factors!$A$2:$A$13,Emission_Factors!$C$2:$C$13)+F43*_xlfn.XLOOKUP("Quartz_Powder",Emission_Factors!$A$2:$A$13,Emission_Factors!$C$2:$C$13)+G43*_xlfn.XLOOKUP("Fly_Ash",Emission_Factors!$A$2:$A$13,Emission_Factors!$C$2:$C$13)+H43*_xlfn.XLOOKUP("Nano_Silica",Emission_Factors!$A$2:$A$13,Emission_Factors!$C$2:$C$13)+I43*_xlfn.XLOOKUP("Aggregate",Emission_Factors!$A$2:$A$13,Emission_Factors!$C$2:$C$13)+J43*_xlfn.XLOOKUP("Water",Emission_Factors!$A$2:$A$13,Emission_Factors!$C$2:$C$13)+K43*_xlfn.XLOOKUP("Fiber_Recycled",Emission_Factors!$A$2:$A$13,Emission_Factors!$C$2:$C$13)+L43*_xlfn.XLOOKUP("Superplasticizer",Emission_Factors!$A$2:$A$13,Emission_Factors!$C$2:$C$13)</f>
        <v>773.39868799999988</v>
      </c>
    </row>
    <row r="44" spans="1:19" x14ac:dyDescent="0.25">
      <c r="A44">
        <v>205</v>
      </c>
      <c r="B44">
        <v>756.5</v>
      </c>
      <c r="C44">
        <v>0</v>
      </c>
      <c r="D44">
        <v>133.5</v>
      </c>
      <c r="E44">
        <v>0</v>
      </c>
      <c r="F44">
        <v>0</v>
      </c>
      <c r="G44">
        <v>0</v>
      </c>
      <c r="H44">
        <v>0</v>
      </c>
      <c r="I44">
        <v>1231</v>
      </c>
      <c r="J44">
        <v>178</v>
      </c>
      <c r="K44">
        <v>0</v>
      </c>
      <c r="L44">
        <v>30.2</v>
      </c>
      <c r="M44">
        <v>21</v>
      </c>
      <c r="N44">
        <v>7</v>
      </c>
      <c r="O44">
        <v>96.8</v>
      </c>
      <c r="P44">
        <v>96.458010000000002</v>
      </c>
      <c r="Q44">
        <v>0.341992187</v>
      </c>
      <c r="R44" s="4">
        <f>B44*_xlfn.XLOOKUP("Cement",Emission_Factors!$A$2:$A$13,Emission_Factors!$C$2:$C$13)+C44*_xlfn.XLOOKUP("Slag",Emission_Factors!$A$2:$A$13,Emission_Factors!$C$2:$C$13)+D44*_xlfn.XLOOKUP("Silica_Fume",Emission_Factors!$A$2:$A$13,Emission_Factors!$C$2:$C$13)+E44*_xlfn.XLOOKUP("Limestone_Powder",Emission_Factors!$A$2:$A$13,Emission_Factors!$C$2:$C$13)+F44*_xlfn.XLOOKUP("Quartz_Powder",Emission_Factors!$A$2:$A$13,Emission_Factors!$C$2:$C$13)+G44*_xlfn.XLOOKUP("Fly_Ash",Emission_Factors!$A$2:$A$13,Emission_Factors!$C$2:$C$13)+H44*_xlfn.XLOOKUP("Nano_Silica",Emission_Factors!$A$2:$A$13,Emission_Factors!$C$2:$C$13)+I44*_xlfn.XLOOKUP("Aggregate",Emission_Factors!$A$2:$A$13,Emission_Factors!$C$2:$C$13)+J44*_xlfn.XLOOKUP("Water",Emission_Factors!$A$2:$A$13,Emission_Factors!$C$2:$C$13)+K44*_xlfn.XLOOKUP("Fiber_Virgin",Emission_Factors!$A$2:$A$13,Emission_Factors!$C$2:$C$13)+L44*_xlfn.XLOOKUP("Superplasticizer",Emission_Factors!$A$2:$A$13,Emission_Factors!$C$2:$C$13)</f>
        <v>664.46268799999996</v>
      </c>
      <c r="S44" s="4">
        <f>B44*_xlfn.XLOOKUP("Cement",Emission_Factors!$A$2:$A$13,Emission_Factors!$C$2:$C$13)+C44*_xlfn.XLOOKUP("Slag",Emission_Factors!$A$2:$A$13,Emission_Factors!$C$2:$C$13)+D44*_xlfn.XLOOKUP("Silica_Fume",Emission_Factors!$A$2:$A$13,Emission_Factors!$C$2:$C$13)+E44*_xlfn.XLOOKUP("Limestone_Powder",Emission_Factors!$A$2:$A$13,Emission_Factors!$C$2:$C$13)+F44*_xlfn.XLOOKUP("Quartz_Powder",Emission_Factors!$A$2:$A$13,Emission_Factors!$C$2:$C$13)+G44*_xlfn.XLOOKUP("Fly_Ash",Emission_Factors!$A$2:$A$13,Emission_Factors!$C$2:$C$13)+H44*_xlfn.XLOOKUP("Nano_Silica",Emission_Factors!$A$2:$A$13,Emission_Factors!$C$2:$C$13)+I44*_xlfn.XLOOKUP("Aggregate",Emission_Factors!$A$2:$A$13,Emission_Factors!$C$2:$C$13)+J44*_xlfn.XLOOKUP("Water",Emission_Factors!$A$2:$A$13,Emission_Factors!$C$2:$C$13)+K44*_xlfn.XLOOKUP("Fiber_Recycled",Emission_Factors!$A$2:$A$13,Emission_Factors!$C$2:$C$13)+L44*_xlfn.XLOOKUP("Superplasticizer",Emission_Factors!$A$2:$A$13,Emission_Factors!$C$2:$C$13)</f>
        <v>664.46268799999996</v>
      </c>
    </row>
    <row r="45" spans="1:19" x14ac:dyDescent="0.25">
      <c r="A45">
        <v>213</v>
      </c>
      <c r="B45">
        <v>792</v>
      </c>
      <c r="C45">
        <v>0</v>
      </c>
      <c r="D45">
        <v>0</v>
      </c>
      <c r="E45">
        <v>0</v>
      </c>
      <c r="F45">
        <v>0</v>
      </c>
      <c r="G45">
        <v>0</v>
      </c>
      <c r="H45">
        <v>8</v>
      </c>
      <c r="I45">
        <v>1450.8</v>
      </c>
      <c r="J45">
        <v>160</v>
      </c>
      <c r="K45">
        <v>0</v>
      </c>
      <c r="L45">
        <v>28.8</v>
      </c>
      <c r="M45">
        <v>23</v>
      </c>
      <c r="N45">
        <v>3</v>
      </c>
      <c r="O45">
        <v>99.3</v>
      </c>
      <c r="P45">
        <v>101.58566999999999</v>
      </c>
      <c r="Q45">
        <v>-2.285670471</v>
      </c>
      <c r="R45" s="4">
        <f>B45*_xlfn.XLOOKUP("Cement",Emission_Factors!$A$2:$A$13,Emission_Factors!$C$2:$C$13)+C45*_xlfn.XLOOKUP("Slag",Emission_Factors!$A$2:$A$13,Emission_Factors!$C$2:$C$13)+D45*_xlfn.XLOOKUP("Silica_Fume",Emission_Factors!$A$2:$A$13,Emission_Factors!$C$2:$C$13)+E45*_xlfn.XLOOKUP("Limestone_Powder",Emission_Factors!$A$2:$A$13,Emission_Factors!$C$2:$C$13)+F45*_xlfn.XLOOKUP("Quartz_Powder",Emission_Factors!$A$2:$A$13,Emission_Factors!$C$2:$C$13)+G45*_xlfn.XLOOKUP("Fly_Ash",Emission_Factors!$A$2:$A$13,Emission_Factors!$C$2:$C$13)+H45*_xlfn.XLOOKUP("Nano_Silica",Emission_Factors!$A$2:$A$13,Emission_Factors!$C$2:$C$13)+I45*_xlfn.XLOOKUP("Aggregate",Emission_Factors!$A$2:$A$13,Emission_Factors!$C$2:$C$13)+J45*_xlfn.XLOOKUP("Water",Emission_Factors!$A$2:$A$13,Emission_Factors!$C$2:$C$13)+K45*_xlfn.XLOOKUP("Fiber_Virgin",Emission_Factors!$A$2:$A$13,Emission_Factors!$C$2:$C$13)+L45*_xlfn.XLOOKUP("Superplasticizer",Emission_Factors!$A$2:$A$13,Emission_Factors!$C$2:$C$13)</f>
        <v>703.83255999999994</v>
      </c>
      <c r="S45" s="4">
        <f>B45*_xlfn.XLOOKUP("Cement",Emission_Factors!$A$2:$A$13,Emission_Factors!$C$2:$C$13)+C45*_xlfn.XLOOKUP("Slag",Emission_Factors!$A$2:$A$13,Emission_Factors!$C$2:$C$13)+D45*_xlfn.XLOOKUP("Silica_Fume",Emission_Factors!$A$2:$A$13,Emission_Factors!$C$2:$C$13)+E45*_xlfn.XLOOKUP("Limestone_Powder",Emission_Factors!$A$2:$A$13,Emission_Factors!$C$2:$C$13)+F45*_xlfn.XLOOKUP("Quartz_Powder",Emission_Factors!$A$2:$A$13,Emission_Factors!$C$2:$C$13)+G45*_xlfn.XLOOKUP("Fly_Ash",Emission_Factors!$A$2:$A$13,Emission_Factors!$C$2:$C$13)+H45*_xlfn.XLOOKUP("Nano_Silica",Emission_Factors!$A$2:$A$13,Emission_Factors!$C$2:$C$13)+I45*_xlfn.XLOOKUP("Aggregate",Emission_Factors!$A$2:$A$13,Emission_Factors!$C$2:$C$13)+J45*_xlfn.XLOOKUP("Water",Emission_Factors!$A$2:$A$13,Emission_Factors!$C$2:$C$13)+K45*_xlfn.XLOOKUP("Fiber_Recycled",Emission_Factors!$A$2:$A$13,Emission_Factors!$C$2:$C$13)+L45*_xlfn.XLOOKUP("Superplasticizer",Emission_Factors!$A$2:$A$13,Emission_Factors!$C$2:$C$13)</f>
        <v>703.83255999999994</v>
      </c>
    </row>
    <row r="46" spans="1:19" x14ac:dyDescent="0.25">
      <c r="A46">
        <v>214</v>
      </c>
      <c r="B46">
        <v>699.9</v>
      </c>
      <c r="C46">
        <v>0</v>
      </c>
      <c r="D46">
        <v>43.7</v>
      </c>
      <c r="E46">
        <v>0</v>
      </c>
      <c r="F46">
        <v>175</v>
      </c>
      <c r="G46">
        <v>0</v>
      </c>
      <c r="H46">
        <v>0</v>
      </c>
      <c r="I46">
        <v>1273.4000000000001</v>
      </c>
      <c r="J46">
        <v>202.1</v>
      </c>
      <c r="K46">
        <v>39</v>
      </c>
      <c r="L46">
        <v>45.9</v>
      </c>
      <c r="M46">
        <v>21</v>
      </c>
      <c r="N46">
        <v>7</v>
      </c>
      <c r="O46">
        <v>99.33</v>
      </c>
      <c r="P46">
        <v>98.625206000000006</v>
      </c>
      <c r="Q46">
        <v>0.70479400599999997</v>
      </c>
      <c r="R46" s="4">
        <f>B46*_xlfn.XLOOKUP("Cement",Emission_Factors!$A$2:$A$13,Emission_Factors!$C$2:$C$13)+C46*_xlfn.XLOOKUP("Slag",Emission_Factors!$A$2:$A$13,Emission_Factors!$C$2:$C$13)+D46*_xlfn.XLOOKUP("Silica_Fume",Emission_Factors!$A$2:$A$13,Emission_Factors!$C$2:$C$13)+E46*_xlfn.XLOOKUP("Limestone_Powder",Emission_Factors!$A$2:$A$13,Emission_Factors!$C$2:$C$13)+F46*_xlfn.XLOOKUP("Quartz_Powder",Emission_Factors!$A$2:$A$13,Emission_Factors!$C$2:$C$13)+G46*_xlfn.XLOOKUP("Fly_Ash",Emission_Factors!$A$2:$A$13,Emission_Factors!$C$2:$C$13)+H46*_xlfn.XLOOKUP("Nano_Silica",Emission_Factors!$A$2:$A$13,Emission_Factors!$C$2:$C$13)+I46*_xlfn.XLOOKUP("Aggregate",Emission_Factors!$A$2:$A$13,Emission_Factors!$C$2:$C$13)+J46*_xlfn.XLOOKUP("Water",Emission_Factors!$A$2:$A$13,Emission_Factors!$C$2:$C$13)+K46*_xlfn.XLOOKUP("Fiber_Virgin",Emission_Factors!$A$2:$A$13,Emission_Factors!$C$2:$C$13)+L46*_xlfn.XLOOKUP("Superplasticizer",Emission_Factors!$A$2:$A$13,Emission_Factors!$C$2:$C$13)</f>
        <v>732.9125115999999</v>
      </c>
      <c r="S46" s="4">
        <f>B46*_xlfn.XLOOKUP("Cement",Emission_Factors!$A$2:$A$13,Emission_Factors!$C$2:$C$13)+C46*_xlfn.XLOOKUP("Slag",Emission_Factors!$A$2:$A$13,Emission_Factors!$C$2:$C$13)+D46*_xlfn.XLOOKUP("Silica_Fume",Emission_Factors!$A$2:$A$13,Emission_Factors!$C$2:$C$13)+E46*_xlfn.XLOOKUP("Limestone_Powder",Emission_Factors!$A$2:$A$13,Emission_Factors!$C$2:$C$13)+F46*_xlfn.XLOOKUP("Quartz_Powder",Emission_Factors!$A$2:$A$13,Emission_Factors!$C$2:$C$13)+G46*_xlfn.XLOOKUP("Fly_Ash",Emission_Factors!$A$2:$A$13,Emission_Factors!$C$2:$C$13)+H46*_xlfn.XLOOKUP("Nano_Silica",Emission_Factors!$A$2:$A$13,Emission_Factors!$C$2:$C$13)+I46*_xlfn.XLOOKUP("Aggregate",Emission_Factors!$A$2:$A$13,Emission_Factors!$C$2:$C$13)+J46*_xlfn.XLOOKUP("Water",Emission_Factors!$A$2:$A$13,Emission_Factors!$C$2:$C$13)+K46*_xlfn.XLOOKUP("Fiber_Recycled",Emission_Factors!$A$2:$A$13,Emission_Factors!$C$2:$C$13)+L46*_xlfn.XLOOKUP("Superplasticizer",Emission_Factors!$A$2:$A$13,Emission_Factors!$C$2:$C$13)</f>
        <v>670.51251159999993</v>
      </c>
    </row>
    <row r="47" spans="1:19" x14ac:dyDescent="0.25">
      <c r="A47">
        <v>215</v>
      </c>
      <c r="B47">
        <v>612.4</v>
      </c>
      <c r="C47">
        <v>0</v>
      </c>
      <c r="D47">
        <v>43.7</v>
      </c>
      <c r="E47">
        <v>262.5</v>
      </c>
      <c r="F47">
        <v>0</v>
      </c>
      <c r="G47">
        <v>0</v>
      </c>
      <c r="H47">
        <v>0</v>
      </c>
      <c r="I47">
        <v>1273.4000000000001</v>
      </c>
      <c r="J47">
        <v>202.1</v>
      </c>
      <c r="K47">
        <v>117</v>
      </c>
      <c r="L47">
        <v>45.9</v>
      </c>
      <c r="M47">
        <v>21</v>
      </c>
      <c r="N47">
        <v>7</v>
      </c>
      <c r="O47">
        <v>100</v>
      </c>
      <c r="P47">
        <v>107.014656</v>
      </c>
      <c r="Q47">
        <v>-7.0146560669999998</v>
      </c>
      <c r="R47" s="4">
        <f>B47*_xlfn.XLOOKUP("Cement",Emission_Factors!$A$2:$A$13,Emission_Factors!$C$2:$C$13)+C47*_xlfn.XLOOKUP("Slag",Emission_Factors!$A$2:$A$13,Emission_Factors!$C$2:$C$13)+D47*_xlfn.XLOOKUP("Silica_Fume",Emission_Factors!$A$2:$A$13,Emission_Factors!$C$2:$C$13)+E47*_xlfn.XLOOKUP("Limestone_Powder",Emission_Factors!$A$2:$A$13,Emission_Factors!$C$2:$C$13)+F47*_xlfn.XLOOKUP("Quartz_Powder",Emission_Factors!$A$2:$A$13,Emission_Factors!$C$2:$C$13)+G47*_xlfn.XLOOKUP("Fly_Ash",Emission_Factors!$A$2:$A$13,Emission_Factors!$C$2:$C$13)+H47*_xlfn.XLOOKUP("Nano_Silica",Emission_Factors!$A$2:$A$13,Emission_Factors!$C$2:$C$13)+I47*_xlfn.XLOOKUP("Aggregate",Emission_Factors!$A$2:$A$13,Emission_Factors!$C$2:$C$13)+J47*_xlfn.XLOOKUP("Water",Emission_Factors!$A$2:$A$13,Emission_Factors!$C$2:$C$13)+K47*_xlfn.XLOOKUP("Fiber_Virgin",Emission_Factors!$A$2:$A$13,Emission_Factors!$C$2:$C$13)+L47*_xlfn.XLOOKUP("Superplasticizer",Emission_Factors!$A$2:$A$13,Emission_Factors!$C$2:$C$13)</f>
        <v>855.60251159999996</v>
      </c>
      <c r="S47" s="4">
        <f>B47*_xlfn.XLOOKUP("Cement",Emission_Factors!$A$2:$A$13,Emission_Factors!$C$2:$C$13)+C47*_xlfn.XLOOKUP("Slag",Emission_Factors!$A$2:$A$13,Emission_Factors!$C$2:$C$13)+D47*_xlfn.XLOOKUP("Silica_Fume",Emission_Factors!$A$2:$A$13,Emission_Factors!$C$2:$C$13)+E47*_xlfn.XLOOKUP("Limestone_Powder",Emission_Factors!$A$2:$A$13,Emission_Factors!$C$2:$C$13)+F47*_xlfn.XLOOKUP("Quartz_Powder",Emission_Factors!$A$2:$A$13,Emission_Factors!$C$2:$C$13)+G47*_xlfn.XLOOKUP("Fly_Ash",Emission_Factors!$A$2:$A$13,Emission_Factors!$C$2:$C$13)+H47*_xlfn.XLOOKUP("Nano_Silica",Emission_Factors!$A$2:$A$13,Emission_Factors!$C$2:$C$13)+I47*_xlfn.XLOOKUP("Aggregate",Emission_Factors!$A$2:$A$13,Emission_Factors!$C$2:$C$13)+J47*_xlfn.XLOOKUP("Water",Emission_Factors!$A$2:$A$13,Emission_Factors!$C$2:$C$13)+K47*_xlfn.XLOOKUP("Fiber_Recycled",Emission_Factors!$A$2:$A$13,Emission_Factors!$C$2:$C$13)+L47*_xlfn.XLOOKUP("Superplasticizer",Emission_Factors!$A$2:$A$13,Emission_Factors!$C$2:$C$13)</f>
        <v>668.40251159999991</v>
      </c>
    </row>
    <row r="48" spans="1:19" x14ac:dyDescent="0.25">
      <c r="A48">
        <v>216</v>
      </c>
      <c r="B48">
        <v>750</v>
      </c>
      <c r="C48">
        <v>0</v>
      </c>
      <c r="D48">
        <v>144</v>
      </c>
      <c r="E48">
        <v>0</v>
      </c>
      <c r="F48">
        <v>0</v>
      </c>
      <c r="G48">
        <v>200</v>
      </c>
      <c r="H48">
        <v>0</v>
      </c>
      <c r="I48">
        <v>990</v>
      </c>
      <c r="J48">
        <v>182</v>
      </c>
      <c r="K48">
        <v>0</v>
      </c>
      <c r="L48">
        <v>38</v>
      </c>
      <c r="M48">
        <v>20</v>
      </c>
      <c r="N48">
        <v>7</v>
      </c>
      <c r="O48">
        <v>100.1</v>
      </c>
      <c r="P48">
        <v>93.251490000000004</v>
      </c>
      <c r="Q48">
        <v>6.8485122680000003</v>
      </c>
      <c r="R48" s="4">
        <f>B48*_xlfn.XLOOKUP("Cement",Emission_Factors!$A$2:$A$13,Emission_Factors!$C$2:$C$13)+C48*_xlfn.XLOOKUP("Slag",Emission_Factors!$A$2:$A$13,Emission_Factors!$C$2:$C$13)+D48*_xlfn.XLOOKUP("Silica_Fume",Emission_Factors!$A$2:$A$13,Emission_Factors!$C$2:$C$13)+E48*_xlfn.XLOOKUP("Limestone_Powder",Emission_Factors!$A$2:$A$13,Emission_Factors!$C$2:$C$13)+F48*_xlfn.XLOOKUP("Quartz_Powder",Emission_Factors!$A$2:$A$13,Emission_Factors!$C$2:$C$13)+G48*_xlfn.XLOOKUP("Fly_Ash",Emission_Factors!$A$2:$A$13,Emission_Factors!$C$2:$C$13)+H48*_xlfn.XLOOKUP("Nano_Silica",Emission_Factors!$A$2:$A$13,Emission_Factors!$C$2:$C$13)+I48*_xlfn.XLOOKUP("Aggregate",Emission_Factors!$A$2:$A$13,Emission_Factors!$C$2:$C$13)+J48*_xlfn.XLOOKUP("Water",Emission_Factors!$A$2:$A$13,Emission_Factors!$C$2:$C$13)+K48*_xlfn.XLOOKUP("Fiber_Virgin",Emission_Factors!$A$2:$A$13,Emission_Factors!$C$2:$C$13)+L48*_xlfn.XLOOKUP("Superplasticizer",Emission_Factors!$A$2:$A$13,Emission_Factors!$C$2:$C$13)</f>
        <v>667.1736719999999</v>
      </c>
      <c r="S48" s="4">
        <f>B48*_xlfn.XLOOKUP("Cement",Emission_Factors!$A$2:$A$13,Emission_Factors!$C$2:$C$13)+C48*_xlfn.XLOOKUP("Slag",Emission_Factors!$A$2:$A$13,Emission_Factors!$C$2:$C$13)+D48*_xlfn.XLOOKUP("Silica_Fume",Emission_Factors!$A$2:$A$13,Emission_Factors!$C$2:$C$13)+E48*_xlfn.XLOOKUP("Limestone_Powder",Emission_Factors!$A$2:$A$13,Emission_Factors!$C$2:$C$13)+F48*_xlfn.XLOOKUP("Quartz_Powder",Emission_Factors!$A$2:$A$13,Emission_Factors!$C$2:$C$13)+G48*_xlfn.XLOOKUP("Fly_Ash",Emission_Factors!$A$2:$A$13,Emission_Factors!$C$2:$C$13)+H48*_xlfn.XLOOKUP("Nano_Silica",Emission_Factors!$A$2:$A$13,Emission_Factors!$C$2:$C$13)+I48*_xlfn.XLOOKUP("Aggregate",Emission_Factors!$A$2:$A$13,Emission_Factors!$C$2:$C$13)+J48*_xlfn.XLOOKUP("Water",Emission_Factors!$A$2:$A$13,Emission_Factors!$C$2:$C$13)+K48*_xlfn.XLOOKUP("Fiber_Recycled",Emission_Factors!$A$2:$A$13,Emission_Factors!$C$2:$C$13)+L48*_xlfn.XLOOKUP("Superplasticizer",Emission_Factors!$A$2:$A$13,Emission_Factors!$C$2:$C$13)</f>
        <v>667.1736719999999</v>
      </c>
    </row>
    <row r="49" spans="1:19" x14ac:dyDescent="0.25">
      <c r="A49">
        <v>226</v>
      </c>
      <c r="B49">
        <v>852</v>
      </c>
      <c r="C49">
        <v>0</v>
      </c>
      <c r="D49">
        <v>216</v>
      </c>
      <c r="E49">
        <v>0</v>
      </c>
      <c r="F49">
        <v>0</v>
      </c>
      <c r="G49">
        <v>0</v>
      </c>
      <c r="H49">
        <v>10.8</v>
      </c>
      <c r="I49">
        <v>1079</v>
      </c>
      <c r="J49">
        <v>177</v>
      </c>
      <c r="K49">
        <v>0</v>
      </c>
      <c r="L49">
        <v>21.6</v>
      </c>
      <c r="M49">
        <v>23</v>
      </c>
      <c r="N49">
        <v>7</v>
      </c>
      <c r="O49">
        <v>101.64</v>
      </c>
      <c r="P49">
        <v>100.06668000000001</v>
      </c>
      <c r="Q49">
        <v>1.573319092</v>
      </c>
      <c r="R49" s="4">
        <f>B49*_xlfn.XLOOKUP("Cement",Emission_Factors!$A$2:$A$13,Emission_Factors!$C$2:$C$13)+C49*_xlfn.XLOOKUP("Slag",Emission_Factors!$A$2:$A$13,Emission_Factors!$C$2:$C$13)+D49*_xlfn.XLOOKUP("Silica_Fume",Emission_Factors!$A$2:$A$13,Emission_Factors!$C$2:$C$13)+E49*_xlfn.XLOOKUP("Limestone_Powder",Emission_Factors!$A$2:$A$13,Emission_Factors!$C$2:$C$13)+F49*_xlfn.XLOOKUP("Quartz_Powder",Emission_Factors!$A$2:$A$13,Emission_Factors!$C$2:$C$13)+G49*_xlfn.XLOOKUP("Fly_Ash",Emission_Factors!$A$2:$A$13,Emission_Factors!$C$2:$C$13)+H49*_xlfn.XLOOKUP("Nano_Silica",Emission_Factors!$A$2:$A$13,Emission_Factors!$C$2:$C$13)+I49*_xlfn.XLOOKUP("Aggregate",Emission_Factors!$A$2:$A$13,Emission_Factors!$C$2:$C$13)+J49*_xlfn.XLOOKUP("Water",Emission_Factors!$A$2:$A$13,Emission_Factors!$C$2:$C$13)+K49*_xlfn.XLOOKUP("Fiber_Virgin",Emission_Factors!$A$2:$A$13,Emission_Factors!$C$2:$C$13)+L49*_xlfn.XLOOKUP("Superplasticizer",Emission_Factors!$A$2:$A$13,Emission_Factors!$C$2:$C$13)</f>
        <v>752.20409199999995</v>
      </c>
      <c r="S49" s="4">
        <f>B49*_xlfn.XLOOKUP("Cement",Emission_Factors!$A$2:$A$13,Emission_Factors!$C$2:$C$13)+C49*_xlfn.XLOOKUP("Slag",Emission_Factors!$A$2:$A$13,Emission_Factors!$C$2:$C$13)+D49*_xlfn.XLOOKUP("Silica_Fume",Emission_Factors!$A$2:$A$13,Emission_Factors!$C$2:$C$13)+E49*_xlfn.XLOOKUP("Limestone_Powder",Emission_Factors!$A$2:$A$13,Emission_Factors!$C$2:$C$13)+F49*_xlfn.XLOOKUP("Quartz_Powder",Emission_Factors!$A$2:$A$13,Emission_Factors!$C$2:$C$13)+G49*_xlfn.XLOOKUP("Fly_Ash",Emission_Factors!$A$2:$A$13,Emission_Factors!$C$2:$C$13)+H49*_xlfn.XLOOKUP("Nano_Silica",Emission_Factors!$A$2:$A$13,Emission_Factors!$C$2:$C$13)+I49*_xlfn.XLOOKUP("Aggregate",Emission_Factors!$A$2:$A$13,Emission_Factors!$C$2:$C$13)+J49*_xlfn.XLOOKUP("Water",Emission_Factors!$A$2:$A$13,Emission_Factors!$C$2:$C$13)+K49*_xlfn.XLOOKUP("Fiber_Recycled",Emission_Factors!$A$2:$A$13,Emission_Factors!$C$2:$C$13)+L49*_xlfn.XLOOKUP("Superplasticizer",Emission_Factors!$A$2:$A$13,Emission_Factors!$C$2:$C$13)</f>
        <v>752.20409199999995</v>
      </c>
    </row>
    <row r="50" spans="1:19" x14ac:dyDescent="0.25">
      <c r="A50">
        <v>230</v>
      </c>
      <c r="B50">
        <v>696</v>
      </c>
      <c r="C50">
        <v>0</v>
      </c>
      <c r="D50">
        <v>80</v>
      </c>
      <c r="E50">
        <v>0</v>
      </c>
      <c r="F50">
        <v>0</v>
      </c>
      <c r="G50">
        <v>0</v>
      </c>
      <c r="H50">
        <v>24</v>
      </c>
      <c r="I50">
        <v>1359.2</v>
      </c>
      <c r="J50">
        <v>160</v>
      </c>
      <c r="K50">
        <v>0</v>
      </c>
      <c r="L50">
        <v>52</v>
      </c>
      <c r="M50">
        <v>23</v>
      </c>
      <c r="N50">
        <v>7</v>
      </c>
      <c r="O50">
        <v>102.2</v>
      </c>
      <c r="P50">
        <v>94.798540000000003</v>
      </c>
      <c r="Q50">
        <v>7.4014617920000001</v>
      </c>
      <c r="R50" s="4">
        <f>B50*_xlfn.XLOOKUP("Cement",Emission_Factors!$A$2:$A$13,Emission_Factors!$C$2:$C$13)+C50*_xlfn.XLOOKUP("Slag",Emission_Factors!$A$2:$A$13,Emission_Factors!$C$2:$C$13)+D50*_xlfn.XLOOKUP("Silica_Fume",Emission_Factors!$A$2:$A$13,Emission_Factors!$C$2:$C$13)+E50*_xlfn.XLOOKUP("Limestone_Powder",Emission_Factors!$A$2:$A$13,Emission_Factors!$C$2:$C$13)+F50*_xlfn.XLOOKUP("Quartz_Powder",Emission_Factors!$A$2:$A$13,Emission_Factors!$C$2:$C$13)+G50*_xlfn.XLOOKUP("Fly_Ash",Emission_Factors!$A$2:$A$13,Emission_Factors!$C$2:$C$13)+H50*_xlfn.XLOOKUP("Nano_Silica",Emission_Factors!$A$2:$A$13,Emission_Factors!$C$2:$C$13)+I50*_xlfn.XLOOKUP("Aggregate",Emission_Factors!$A$2:$A$13,Emission_Factors!$C$2:$C$13)+J50*_xlfn.XLOOKUP("Water",Emission_Factors!$A$2:$A$13,Emission_Factors!$C$2:$C$13)+K50*_xlfn.XLOOKUP("Fiber_Virgin",Emission_Factors!$A$2:$A$13,Emission_Factors!$C$2:$C$13)+L50*_xlfn.XLOOKUP("Superplasticizer",Emission_Factors!$A$2:$A$13,Emission_Factors!$C$2:$C$13)</f>
        <v>670.71535999999992</v>
      </c>
      <c r="S50" s="4">
        <f>B50*_xlfn.XLOOKUP("Cement",Emission_Factors!$A$2:$A$13,Emission_Factors!$C$2:$C$13)+C50*_xlfn.XLOOKUP("Slag",Emission_Factors!$A$2:$A$13,Emission_Factors!$C$2:$C$13)+D50*_xlfn.XLOOKUP("Silica_Fume",Emission_Factors!$A$2:$A$13,Emission_Factors!$C$2:$C$13)+E50*_xlfn.XLOOKUP("Limestone_Powder",Emission_Factors!$A$2:$A$13,Emission_Factors!$C$2:$C$13)+F50*_xlfn.XLOOKUP("Quartz_Powder",Emission_Factors!$A$2:$A$13,Emission_Factors!$C$2:$C$13)+G50*_xlfn.XLOOKUP("Fly_Ash",Emission_Factors!$A$2:$A$13,Emission_Factors!$C$2:$C$13)+H50*_xlfn.XLOOKUP("Nano_Silica",Emission_Factors!$A$2:$A$13,Emission_Factors!$C$2:$C$13)+I50*_xlfn.XLOOKUP("Aggregate",Emission_Factors!$A$2:$A$13,Emission_Factors!$C$2:$C$13)+J50*_xlfn.XLOOKUP("Water",Emission_Factors!$A$2:$A$13,Emission_Factors!$C$2:$C$13)+K50*_xlfn.XLOOKUP("Fiber_Recycled",Emission_Factors!$A$2:$A$13,Emission_Factors!$C$2:$C$13)+L50*_xlfn.XLOOKUP("Superplasticizer",Emission_Factors!$A$2:$A$13,Emission_Factors!$C$2:$C$13)</f>
        <v>670.71535999999992</v>
      </c>
    </row>
    <row r="51" spans="1:19" x14ac:dyDescent="0.25">
      <c r="A51">
        <v>241</v>
      </c>
      <c r="B51">
        <v>432</v>
      </c>
      <c r="C51">
        <v>216</v>
      </c>
      <c r="D51">
        <v>216</v>
      </c>
      <c r="E51">
        <v>0</v>
      </c>
      <c r="F51">
        <v>0</v>
      </c>
      <c r="G51">
        <v>216</v>
      </c>
      <c r="H51">
        <v>0</v>
      </c>
      <c r="I51">
        <v>923</v>
      </c>
      <c r="J51">
        <v>177</v>
      </c>
      <c r="K51">
        <v>0</v>
      </c>
      <c r="L51">
        <v>32.4</v>
      </c>
      <c r="M51">
        <v>20</v>
      </c>
      <c r="N51">
        <v>28</v>
      </c>
      <c r="O51">
        <v>103</v>
      </c>
      <c r="P51">
        <v>118.81229</v>
      </c>
      <c r="Q51">
        <v>-15.81228638</v>
      </c>
      <c r="R51" s="4">
        <f>B51*_xlfn.XLOOKUP("Cement",Emission_Factors!$A$2:$A$13,Emission_Factors!$C$2:$C$13)+C51*_xlfn.XLOOKUP("Slag",Emission_Factors!$A$2:$A$13,Emission_Factors!$C$2:$C$13)+D51*_xlfn.XLOOKUP("Silica_Fume",Emission_Factors!$A$2:$A$13,Emission_Factors!$C$2:$C$13)+E51*_xlfn.XLOOKUP("Limestone_Powder",Emission_Factors!$A$2:$A$13,Emission_Factors!$C$2:$C$13)+F51*_xlfn.XLOOKUP("Quartz_Powder",Emission_Factors!$A$2:$A$13,Emission_Factors!$C$2:$C$13)+G51*_xlfn.XLOOKUP("Fly_Ash",Emission_Factors!$A$2:$A$13,Emission_Factors!$C$2:$C$13)+H51*_xlfn.XLOOKUP("Nano_Silica",Emission_Factors!$A$2:$A$13,Emission_Factors!$C$2:$C$13)+I51*_xlfn.XLOOKUP("Aggregate",Emission_Factors!$A$2:$A$13,Emission_Factors!$C$2:$C$13)+J51*_xlfn.XLOOKUP("Water",Emission_Factors!$A$2:$A$13,Emission_Factors!$C$2:$C$13)+K51*_xlfn.XLOOKUP("Fiber_Virgin",Emission_Factors!$A$2:$A$13,Emission_Factors!$C$2:$C$13)+L51*_xlfn.XLOOKUP("Superplasticizer",Emission_Factors!$A$2:$A$13,Emission_Factors!$C$2:$C$13)</f>
        <v>409.99529200000006</v>
      </c>
      <c r="S51" s="4">
        <f>B51*_xlfn.XLOOKUP("Cement",Emission_Factors!$A$2:$A$13,Emission_Factors!$C$2:$C$13)+C51*_xlfn.XLOOKUP("Slag",Emission_Factors!$A$2:$A$13,Emission_Factors!$C$2:$C$13)+D51*_xlfn.XLOOKUP("Silica_Fume",Emission_Factors!$A$2:$A$13,Emission_Factors!$C$2:$C$13)+E51*_xlfn.XLOOKUP("Limestone_Powder",Emission_Factors!$A$2:$A$13,Emission_Factors!$C$2:$C$13)+F51*_xlfn.XLOOKUP("Quartz_Powder",Emission_Factors!$A$2:$A$13,Emission_Factors!$C$2:$C$13)+G51*_xlfn.XLOOKUP("Fly_Ash",Emission_Factors!$A$2:$A$13,Emission_Factors!$C$2:$C$13)+H51*_xlfn.XLOOKUP("Nano_Silica",Emission_Factors!$A$2:$A$13,Emission_Factors!$C$2:$C$13)+I51*_xlfn.XLOOKUP("Aggregate",Emission_Factors!$A$2:$A$13,Emission_Factors!$C$2:$C$13)+J51*_xlfn.XLOOKUP("Water",Emission_Factors!$A$2:$A$13,Emission_Factors!$C$2:$C$13)+K51*_xlfn.XLOOKUP("Fiber_Recycled",Emission_Factors!$A$2:$A$13,Emission_Factors!$C$2:$C$13)+L51*_xlfn.XLOOKUP("Superplasticizer",Emission_Factors!$A$2:$A$13,Emission_Factors!$C$2:$C$13)</f>
        <v>409.99529200000006</v>
      </c>
    </row>
    <row r="52" spans="1:19" x14ac:dyDescent="0.25">
      <c r="A52">
        <v>243</v>
      </c>
      <c r="B52">
        <v>421.9</v>
      </c>
      <c r="C52">
        <v>0</v>
      </c>
      <c r="D52">
        <v>0</v>
      </c>
      <c r="E52">
        <v>263.7</v>
      </c>
      <c r="F52">
        <v>175.9</v>
      </c>
      <c r="G52">
        <v>0</v>
      </c>
      <c r="H52">
        <v>17.600000000000001</v>
      </c>
      <c r="I52">
        <v>1273.4000000000001</v>
      </c>
      <c r="J52">
        <v>175.8</v>
      </c>
      <c r="K52">
        <v>195</v>
      </c>
      <c r="L52">
        <v>43.9</v>
      </c>
      <c r="M52">
        <v>21</v>
      </c>
      <c r="N52">
        <v>7</v>
      </c>
      <c r="O52">
        <v>103.35</v>
      </c>
      <c r="P52">
        <v>100.07879</v>
      </c>
      <c r="Q52">
        <v>3.2712112430000002</v>
      </c>
      <c r="R52" s="4">
        <f>B52*_xlfn.XLOOKUP("Cement",Emission_Factors!$A$2:$A$13,Emission_Factors!$C$2:$C$13)+C52*_xlfn.XLOOKUP("Slag",Emission_Factors!$A$2:$A$13,Emission_Factors!$C$2:$C$13)+D52*_xlfn.XLOOKUP("Silica_Fume",Emission_Factors!$A$2:$A$13,Emission_Factors!$C$2:$C$13)+E52*_xlfn.XLOOKUP("Limestone_Powder",Emission_Factors!$A$2:$A$13,Emission_Factors!$C$2:$C$13)+F52*_xlfn.XLOOKUP("Quartz_Powder",Emission_Factors!$A$2:$A$13,Emission_Factors!$C$2:$C$13)+G52*_xlfn.XLOOKUP("Fly_Ash",Emission_Factors!$A$2:$A$13,Emission_Factors!$C$2:$C$13)+H52*_xlfn.XLOOKUP("Nano_Silica",Emission_Factors!$A$2:$A$13,Emission_Factors!$C$2:$C$13)+I52*_xlfn.XLOOKUP("Aggregate",Emission_Factors!$A$2:$A$13,Emission_Factors!$C$2:$C$13)+J52*_xlfn.XLOOKUP("Water",Emission_Factors!$A$2:$A$13,Emission_Factors!$C$2:$C$13)+K52*_xlfn.XLOOKUP("Fiber_Virgin",Emission_Factors!$A$2:$A$13,Emission_Factors!$C$2:$C$13)+L52*_xlfn.XLOOKUP("Superplasticizer",Emission_Factors!$A$2:$A$13,Emission_Factors!$C$2:$C$13)</f>
        <v>920.57178679999993</v>
      </c>
      <c r="S52" s="4">
        <f>B52*_xlfn.XLOOKUP("Cement",Emission_Factors!$A$2:$A$13,Emission_Factors!$C$2:$C$13)+C52*_xlfn.XLOOKUP("Slag",Emission_Factors!$A$2:$A$13,Emission_Factors!$C$2:$C$13)+D52*_xlfn.XLOOKUP("Silica_Fume",Emission_Factors!$A$2:$A$13,Emission_Factors!$C$2:$C$13)+E52*_xlfn.XLOOKUP("Limestone_Powder",Emission_Factors!$A$2:$A$13,Emission_Factors!$C$2:$C$13)+F52*_xlfn.XLOOKUP("Quartz_Powder",Emission_Factors!$A$2:$A$13,Emission_Factors!$C$2:$C$13)+G52*_xlfn.XLOOKUP("Fly_Ash",Emission_Factors!$A$2:$A$13,Emission_Factors!$C$2:$C$13)+H52*_xlfn.XLOOKUP("Nano_Silica",Emission_Factors!$A$2:$A$13,Emission_Factors!$C$2:$C$13)+I52*_xlfn.XLOOKUP("Aggregate",Emission_Factors!$A$2:$A$13,Emission_Factors!$C$2:$C$13)+J52*_xlfn.XLOOKUP("Water",Emission_Factors!$A$2:$A$13,Emission_Factors!$C$2:$C$13)+K52*_xlfn.XLOOKUP("Fiber_Recycled",Emission_Factors!$A$2:$A$13,Emission_Factors!$C$2:$C$13)+L52*_xlfn.XLOOKUP("Superplasticizer",Emission_Factors!$A$2:$A$13,Emission_Factors!$C$2:$C$13)</f>
        <v>608.57178679999993</v>
      </c>
    </row>
    <row r="53" spans="1:19" x14ac:dyDescent="0.25">
      <c r="A53">
        <v>251</v>
      </c>
      <c r="B53">
        <v>716</v>
      </c>
      <c r="C53">
        <v>0</v>
      </c>
      <c r="D53">
        <v>80</v>
      </c>
      <c r="E53">
        <v>0</v>
      </c>
      <c r="F53">
        <v>0</v>
      </c>
      <c r="G53">
        <v>0</v>
      </c>
      <c r="H53">
        <v>4</v>
      </c>
      <c r="I53">
        <v>1411.6</v>
      </c>
      <c r="J53">
        <v>160</v>
      </c>
      <c r="K53">
        <v>0</v>
      </c>
      <c r="L53">
        <v>33.6</v>
      </c>
      <c r="M53">
        <v>23</v>
      </c>
      <c r="N53">
        <v>7</v>
      </c>
      <c r="O53">
        <v>105.1</v>
      </c>
      <c r="P53">
        <v>101.57666</v>
      </c>
      <c r="Q53">
        <v>3.5233398440000001</v>
      </c>
      <c r="R53" s="4">
        <f>B53*_xlfn.XLOOKUP("Cement",Emission_Factors!$A$2:$A$13,Emission_Factors!$C$2:$C$13)+C53*_xlfn.XLOOKUP("Slag",Emission_Factors!$A$2:$A$13,Emission_Factors!$C$2:$C$13)+D53*_xlfn.XLOOKUP("Silica_Fume",Emission_Factors!$A$2:$A$13,Emission_Factors!$C$2:$C$13)+E53*_xlfn.XLOOKUP("Limestone_Powder",Emission_Factors!$A$2:$A$13,Emission_Factors!$C$2:$C$13)+F53*_xlfn.XLOOKUP("Quartz_Powder",Emission_Factors!$A$2:$A$13,Emission_Factors!$C$2:$C$13)+G53*_xlfn.XLOOKUP("Fly_Ash",Emission_Factors!$A$2:$A$13,Emission_Factors!$C$2:$C$13)+H53*_xlfn.XLOOKUP("Nano_Silica",Emission_Factors!$A$2:$A$13,Emission_Factors!$C$2:$C$13)+I53*_xlfn.XLOOKUP("Aggregate",Emission_Factors!$A$2:$A$13,Emission_Factors!$C$2:$C$13)+J53*_xlfn.XLOOKUP("Water",Emission_Factors!$A$2:$A$13,Emission_Factors!$C$2:$C$13)+K53*_xlfn.XLOOKUP("Fiber_Virgin",Emission_Factors!$A$2:$A$13,Emission_Factors!$C$2:$C$13)+L53*_xlfn.XLOOKUP("Superplasticizer",Emission_Factors!$A$2:$A$13,Emission_Factors!$C$2:$C$13)</f>
        <v>640.20775999999989</v>
      </c>
      <c r="S53" s="4">
        <f>B53*_xlfn.XLOOKUP("Cement",Emission_Factors!$A$2:$A$13,Emission_Factors!$C$2:$C$13)+C53*_xlfn.XLOOKUP("Slag",Emission_Factors!$A$2:$A$13,Emission_Factors!$C$2:$C$13)+D53*_xlfn.XLOOKUP("Silica_Fume",Emission_Factors!$A$2:$A$13,Emission_Factors!$C$2:$C$13)+E53*_xlfn.XLOOKUP("Limestone_Powder",Emission_Factors!$A$2:$A$13,Emission_Factors!$C$2:$C$13)+F53*_xlfn.XLOOKUP("Quartz_Powder",Emission_Factors!$A$2:$A$13,Emission_Factors!$C$2:$C$13)+G53*_xlfn.XLOOKUP("Fly_Ash",Emission_Factors!$A$2:$A$13,Emission_Factors!$C$2:$C$13)+H53*_xlfn.XLOOKUP("Nano_Silica",Emission_Factors!$A$2:$A$13,Emission_Factors!$C$2:$C$13)+I53*_xlfn.XLOOKUP("Aggregate",Emission_Factors!$A$2:$A$13,Emission_Factors!$C$2:$C$13)+J53*_xlfn.XLOOKUP("Water",Emission_Factors!$A$2:$A$13,Emission_Factors!$C$2:$C$13)+K53*_xlfn.XLOOKUP("Fiber_Recycled",Emission_Factors!$A$2:$A$13,Emission_Factors!$C$2:$C$13)+L53*_xlfn.XLOOKUP("Superplasticizer",Emission_Factors!$A$2:$A$13,Emission_Factors!$C$2:$C$13)</f>
        <v>640.20775999999989</v>
      </c>
    </row>
    <row r="54" spans="1:19" x14ac:dyDescent="0.25">
      <c r="A54">
        <v>252</v>
      </c>
      <c r="B54">
        <v>612.4</v>
      </c>
      <c r="C54">
        <v>0</v>
      </c>
      <c r="D54">
        <v>43.7</v>
      </c>
      <c r="E54">
        <v>262.5</v>
      </c>
      <c r="F54">
        <v>0</v>
      </c>
      <c r="G54">
        <v>0</v>
      </c>
      <c r="H54">
        <v>0</v>
      </c>
      <c r="I54">
        <v>1273.4000000000001</v>
      </c>
      <c r="J54">
        <v>202.1</v>
      </c>
      <c r="K54">
        <v>156</v>
      </c>
      <c r="L54">
        <v>45.9</v>
      </c>
      <c r="M54">
        <v>21</v>
      </c>
      <c r="N54">
        <v>7</v>
      </c>
      <c r="O54">
        <v>105.37</v>
      </c>
      <c r="P54">
        <v>109.63933</v>
      </c>
      <c r="Q54">
        <v>-4.269328003</v>
      </c>
      <c r="R54" s="4">
        <f>B54*_xlfn.XLOOKUP("Cement",Emission_Factors!$A$2:$A$13,Emission_Factors!$C$2:$C$13)+C54*_xlfn.XLOOKUP("Slag",Emission_Factors!$A$2:$A$13,Emission_Factors!$C$2:$C$13)+D54*_xlfn.XLOOKUP("Silica_Fume",Emission_Factors!$A$2:$A$13,Emission_Factors!$C$2:$C$13)+E54*_xlfn.XLOOKUP("Limestone_Powder",Emission_Factors!$A$2:$A$13,Emission_Factors!$C$2:$C$13)+F54*_xlfn.XLOOKUP("Quartz_Powder",Emission_Factors!$A$2:$A$13,Emission_Factors!$C$2:$C$13)+G54*_xlfn.XLOOKUP("Fly_Ash",Emission_Factors!$A$2:$A$13,Emission_Factors!$C$2:$C$13)+H54*_xlfn.XLOOKUP("Nano_Silica",Emission_Factors!$A$2:$A$13,Emission_Factors!$C$2:$C$13)+I54*_xlfn.XLOOKUP("Aggregate",Emission_Factors!$A$2:$A$13,Emission_Factors!$C$2:$C$13)+J54*_xlfn.XLOOKUP("Water",Emission_Factors!$A$2:$A$13,Emission_Factors!$C$2:$C$13)+K54*_xlfn.XLOOKUP("Fiber_Virgin",Emission_Factors!$A$2:$A$13,Emission_Factors!$C$2:$C$13)+L54*_xlfn.XLOOKUP("Superplasticizer",Emission_Factors!$A$2:$A$13,Emission_Factors!$C$2:$C$13)</f>
        <v>953.10251159999996</v>
      </c>
      <c r="S54" s="4">
        <f>B54*_xlfn.XLOOKUP("Cement",Emission_Factors!$A$2:$A$13,Emission_Factors!$C$2:$C$13)+C54*_xlfn.XLOOKUP("Slag",Emission_Factors!$A$2:$A$13,Emission_Factors!$C$2:$C$13)+D54*_xlfn.XLOOKUP("Silica_Fume",Emission_Factors!$A$2:$A$13,Emission_Factors!$C$2:$C$13)+E54*_xlfn.XLOOKUP("Limestone_Powder",Emission_Factors!$A$2:$A$13,Emission_Factors!$C$2:$C$13)+F54*_xlfn.XLOOKUP("Quartz_Powder",Emission_Factors!$A$2:$A$13,Emission_Factors!$C$2:$C$13)+G54*_xlfn.XLOOKUP("Fly_Ash",Emission_Factors!$A$2:$A$13,Emission_Factors!$C$2:$C$13)+H54*_xlfn.XLOOKUP("Nano_Silica",Emission_Factors!$A$2:$A$13,Emission_Factors!$C$2:$C$13)+I54*_xlfn.XLOOKUP("Aggregate",Emission_Factors!$A$2:$A$13,Emission_Factors!$C$2:$C$13)+J54*_xlfn.XLOOKUP("Water",Emission_Factors!$A$2:$A$13,Emission_Factors!$C$2:$C$13)+K54*_xlfn.XLOOKUP("Fiber_Recycled",Emission_Factors!$A$2:$A$13,Emission_Factors!$C$2:$C$13)+L54*_xlfn.XLOOKUP("Superplasticizer",Emission_Factors!$A$2:$A$13,Emission_Factors!$C$2:$C$13)</f>
        <v>703.50251159999993</v>
      </c>
    </row>
    <row r="55" spans="1:19" x14ac:dyDescent="0.25">
      <c r="A55">
        <v>260</v>
      </c>
      <c r="B55">
        <v>847</v>
      </c>
      <c r="C55">
        <v>0</v>
      </c>
      <c r="D55">
        <v>216</v>
      </c>
      <c r="E55">
        <v>0</v>
      </c>
      <c r="F55">
        <v>0</v>
      </c>
      <c r="G55">
        <v>0</v>
      </c>
      <c r="H55">
        <v>16.2</v>
      </c>
      <c r="I55">
        <v>1079</v>
      </c>
      <c r="J55">
        <v>177</v>
      </c>
      <c r="K55">
        <v>0</v>
      </c>
      <c r="L55">
        <v>21.6</v>
      </c>
      <c r="M55">
        <v>23</v>
      </c>
      <c r="N55">
        <v>7</v>
      </c>
      <c r="O55">
        <v>106.22</v>
      </c>
      <c r="P55">
        <v>102.02117</v>
      </c>
      <c r="Q55">
        <v>4.1988284299999998</v>
      </c>
      <c r="R55" s="4">
        <f>B55*_xlfn.XLOOKUP("Cement",Emission_Factors!$A$2:$A$13,Emission_Factors!$C$2:$C$13)+C55*_xlfn.XLOOKUP("Slag",Emission_Factors!$A$2:$A$13,Emission_Factors!$C$2:$C$13)+D55*_xlfn.XLOOKUP("Silica_Fume",Emission_Factors!$A$2:$A$13,Emission_Factors!$C$2:$C$13)+E55*_xlfn.XLOOKUP("Limestone_Powder",Emission_Factors!$A$2:$A$13,Emission_Factors!$C$2:$C$13)+F55*_xlfn.XLOOKUP("Quartz_Powder",Emission_Factors!$A$2:$A$13,Emission_Factors!$C$2:$C$13)+G55*_xlfn.XLOOKUP("Fly_Ash",Emission_Factors!$A$2:$A$13,Emission_Factors!$C$2:$C$13)+H55*_xlfn.XLOOKUP("Nano_Silica",Emission_Factors!$A$2:$A$13,Emission_Factors!$C$2:$C$13)+I55*_xlfn.XLOOKUP("Aggregate",Emission_Factors!$A$2:$A$13,Emission_Factors!$C$2:$C$13)+J55*_xlfn.XLOOKUP("Water",Emission_Factors!$A$2:$A$13,Emission_Factors!$C$2:$C$13)+K55*_xlfn.XLOOKUP("Fiber_Virgin",Emission_Factors!$A$2:$A$13,Emission_Factors!$C$2:$C$13)+L55*_xlfn.XLOOKUP("Superplasticizer",Emission_Factors!$A$2:$A$13,Emission_Factors!$C$2:$C$13)</f>
        <v>756.15409199999988</v>
      </c>
      <c r="S55" s="4">
        <f>B55*_xlfn.XLOOKUP("Cement",Emission_Factors!$A$2:$A$13,Emission_Factors!$C$2:$C$13)+C55*_xlfn.XLOOKUP("Slag",Emission_Factors!$A$2:$A$13,Emission_Factors!$C$2:$C$13)+D55*_xlfn.XLOOKUP("Silica_Fume",Emission_Factors!$A$2:$A$13,Emission_Factors!$C$2:$C$13)+E55*_xlfn.XLOOKUP("Limestone_Powder",Emission_Factors!$A$2:$A$13,Emission_Factors!$C$2:$C$13)+F55*_xlfn.XLOOKUP("Quartz_Powder",Emission_Factors!$A$2:$A$13,Emission_Factors!$C$2:$C$13)+G55*_xlfn.XLOOKUP("Fly_Ash",Emission_Factors!$A$2:$A$13,Emission_Factors!$C$2:$C$13)+H55*_xlfn.XLOOKUP("Nano_Silica",Emission_Factors!$A$2:$A$13,Emission_Factors!$C$2:$C$13)+I55*_xlfn.XLOOKUP("Aggregate",Emission_Factors!$A$2:$A$13,Emission_Factors!$C$2:$C$13)+J55*_xlfn.XLOOKUP("Water",Emission_Factors!$A$2:$A$13,Emission_Factors!$C$2:$C$13)+K55*_xlfn.XLOOKUP("Fiber_Recycled",Emission_Factors!$A$2:$A$13,Emission_Factors!$C$2:$C$13)+L55*_xlfn.XLOOKUP("Superplasticizer",Emission_Factors!$A$2:$A$13,Emission_Factors!$C$2:$C$13)</f>
        <v>756.15409199999988</v>
      </c>
    </row>
    <row r="56" spans="1:19" x14ac:dyDescent="0.25">
      <c r="A56">
        <v>267</v>
      </c>
      <c r="B56">
        <v>800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1471.3</v>
      </c>
      <c r="J56">
        <v>160</v>
      </c>
      <c r="K56">
        <v>0</v>
      </c>
      <c r="L56">
        <v>21.6</v>
      </c>
      <c r="M56">
        <v>23</v>
      </c>
      <c r="N56">
        <v>7</v>
      </c>
      <c r="O56">
        <v>108</v>
      </c>
      <c r="P56">
        <v>104.93809</v>
      </c>
      <c r="Q56">
        <v>3.061912537</v>
      </c>
      <c r="R56" s="4">
        <f>B56*_xlfn.XLOOKUP("Cement",Emission_Factors!$A$2:$A$13,Emission_Factors!$C$2:$C$13)+C56*_xlfn.XLOOKUP("Slag",Emission_Factors!$A$2:$A$13,Emission_Factors!$C$2:$C$13)+D56*_xlfn.XLOOKUP("Silica_Fume",Emission_Factors!$A$2:$A$13,Emission_Factors!$C$2:$C$13)+E56*_xlfn.XLOOKUP("Limestone_Powder",Emission_Factors!$A$2:$A$13,Emission_Factors!$C$2:$C$13)+F56*_xlfn.XLOOKUP("Quartz_Powder",Emission_Factors!$A$2:$A$13,Emission_Factors!$C$2:$C$13)+G56*_xlfn.XLOOKUP("Fly_Ash",Emission_Factors!$A$2:$A$13,Emission_Factors!$C$2:$C$13)+H56*_xlfn.XLOOKUP("Nano_Silica",Emission_Factors!$A$2:$A$13,Emission_Factors!$C$2:$C$13)+I56*_xlfn.XLOOKUP("Aggregate",Emission_Factors!$A$2:$A$13,Emission_Factors!$C$2:$C$13)+J56*_xlfn.XLOOKUP("Water",Emission_Factors!$A$2:$A$13,Emission_Factors!$C$2:$C$13)+K56*_xlfn.XLOOKUP("Fiber_Virgin",Emission_Factors!$A$2:$A$13,Emission_Factors!$C$2:$C$13)+L56*_xlfn.XLOOKUP("Superplasticizer",Emission_Factors!$A$2:$A$13,Emission_Factors!$C$2:$C$13)</f>
        <v>691.77825999999993</v>
      </c>
      <c r="S56" s="4">
        <f>B56*_xlfn.XLOOKUP("Cement",Emission_Factors!$A$2:$A$13,Emission_Factors!$C$2:$C$13)+C56*_xlfn.XLOOKUP("Slag",Emission_Factors!$A$2:$A$13,Emission_Factors!$C$2:$C$13)+D56*_xlfn.XLOOKUP("Silica_Fume",Emission_Factors!$A$2:$A$13,Emission_Factors!$C$2:$C$13)+E56*_xlfn.XLOOKUP("Limestone_Powder",Emission_Factors!$A$2:$A$13,Emission_Factors!$C$2:$C$13)+F56*_xlfn.XLOOKUP("Quartz_Powder",Emission_Factors!$A$2:$A$13,Emission_Factors!$C$2:$C$13)+G56*_xlfn.XLOOKUP("Fly_Ash",Emission_Factors!$A$2:$A$13,Emission_Factors!$C$2:$C$13)+H56*_xlfn.XLOOKUP("Nano_Silica",Emission_Factors!$A$2:$A$13,Emission_Factors!$C$2:$C$13)+I56*_xlfn.XLOOKUP("Aggregate",Emission_Factors!$A$2:$A$13,Emission_Factors!$C$2:$C$13)+J56*_xlfn.XLOOKUP("Water",Emission_Factors!$A$2:$A$13,Emission_Factors!$C$2:$C$13)+K56*_xlfn.XLOOKUP("Fiber_Recycled",Emission_Factors!$A$2:$A$13,Emission_Factors!$C$2:$C$13)+L56*_xlfn.XLOOKUP("Superplasticizer",Emission_Factors!$A$2:$A$13,Emission_Factors!$C$2:$C$13)</f>
        <v>691.77825999999993</v>
      </c>
    </row>
    <row r="57" spans="1:19" x14ac:dyDescent="0.25">
      <c r="A57">
        <v>270</v>
      </c>
      <c r="B57">
        <v>857.8</v>
      </c>
      <c r="C57">
        <v>0</v>
      </c>
      <c r="D57">
        <v>215.8</v>
      </c>
      <c r="E57">
        <v>0</v>
      </c>
      <c r="F57">
        <v>0</v>
      </c>
      <c r="G57">
        <v>0</v>
      </c>
      <c r="H57">
        <v>5.4</v>
      </c>
      <c r="I57">
        <v>1079</v>
      </c>
      <c r="J57">
        <v>177</v>
      </c>
      <c r="K57">
        <v>0</v>
      </c>
      <c r="L57">
        <v>21.6</v>
      </c>
      <c r="M57">
        <v>20</v>
      </c>
      <c r="N57">
        <v>28</v>
      </c>
      <c r="O57">
        <v>108.3</v>
      </c>
      <c r="P57">
        <v>114.6024</v>
      </c>
      <c r="Q57">
        <v>-6.302401733</v>
      </c>
      <c r="R57" s="4">
        <f>B57*_xlfn.XLOOKUP("Cement",Emission_Factors!$A$2:$A$13,Emission_Factors!$C$2:$C$13)+C57*_xlfn.XLOOKUP("Slag",Emission_Factors!$A$2:$A$13,Emission_Factors!$C$2:$C$13)+D57*_xlfn.XLOOKUP("Silica_Fume",Emission_Factors!$A$2:$A$13,Emission_Factors!$C$2:$C$13)+E57*_xlfn.XLOOKUP("Limestone_Powder",Emission_Factors!$A$2:$A$13,Emission_Factors!$C$2:$C$13)+F57*_xlfn.XLOOKUP("Quartz_Powder",Emission_Factors!$A$2:$A$13,Emission_Factors!$C$2:$C$13)+G57*_xlfn.XLOOKUP("Fly_Ash",Emission_Factors!$A$2:$A$13,Emission_Factors!$C$2:$C$13)+H57*_xlfn.XLOOKUP("Nano_Silica",Emission_Factors!$A$2:$A$13,Emission_Factors!$C$2:$C$13)+I57*_xlfn.XLOOKUP("Aggregate",Emission_Factors!$A$2:$A$13,Emission_Factors!$C$2:$C$13)+J57*_xlfn.XLOOKUP("Water",Emission_Factors!$A$2:$A$13,Emission_Factors!$C$2:$C$13)+K57*_xlfn.XLOOKUP("Fiber_Virgin",Emission_Factors!$A$2:$A$13,Emission_Factors!$C$2:$C$13)+L57*_xlfn.XLOOKUP("Superplasticizer",Emission_Factors!$A$2:$A$13,Emission_Factors!$C$2:$C$13)</f>
        <v>748.91529199999991</v>
      </c>
      <c r="S57" s="4">
        <f>B57*_xlfn.XLOOKUP("Cement",Emission_Factors!$A$2:$A$13,Emission_Factors!$C$2:$C$13)+C57*_xlfn.XLOOKUP("Slag",Emission_Factors!$A$2:$A$13,Emission_Factors!$C$2:$C$13)+D57*_xlfn.XLOOKUP("Silica_Fume",Emission_Factors!$A$2:$A$13,Emission_Factors!$C$2:$C$13)+E57*_xlfn.XLOOKUP("Limestone_Powder",Emission_Factors!$A$2:$A$13,Emission_Factors!$C$2:$C$13)+F57*_xlfn.XLOOKUP("Quartz_Powder",Emission_Factors!$A$2:$A$13,Emission_Factors!$C$2:$C$13)+G57*_xlfn.XLOOKUP("Fly_Ash",Emission_Factors!$A$2:$A$13,Emission_Factors!$C$2:$C$13)+H57*_xlfn.XLOOKUP("Nano_Silica",Emission_Factors!$A$2:$A$13,Emission_Factors!$C$2:$C$13)+I57*_xlfn.XLOOKUP("Aggregate",Emission_Factors!$A$2:$A$13,Emission_Factors!$C$2:$C$13)+J57*_xlfn.XLOOKUP("Water",Emission_Factors!$A$2:$A$13,Emission_Factors!$C$2:$C$13)+K57*_xlfn.XLOOKUP("Fiber_Recycled",Emission_Factors!$A$2:$A$13,Emission_Factors!$C$2:$C$13)+L57*_xlfn.XLOOKUP("Superplasticizer",Emission_Factors!$A$2:$A$13,Emission_Factors!$C$2:$C$13)</f>
        <v>748.91529199999991</v>
      </c>
    </row>
    <row r="58" spans="1:19" x14ac:dyDescent="0.25">
      <c r="A58">
        <v>269</v>
      </c>
      <c r="B58">
        <v>472</v>
      </c>
      <c r="C58">
        <v>315</v>
      </c>
      <c r="D58">
        <v>262</v>
      </c>
      <c r="E58">
        <v>0</v>
      </c>
      <c r="F58">
        <v>0</v>
      </c>
      <c r="G58">
        <v>0</v>
      </c>
      <c r="H58">
        <v>0</v>
      </c>
      <c r="I58">
        <v>1049</v>
      </c>
      <c r="J58">
        <v>178</v>
      </c>
      <c r="K58">
        <v>156</v>
      </c>
      <c r="L58">
        <v>21</v>
      </c>
      <c r="M58">
        <v>20</v>
      </c>
      <c r="N58">
        <v>7</v>
      </c>
      <c r="O58">
        <v>108.3</v>
      </c>
      <c r="P58">
        <v>117.36624</v>
      </c>
      <c r="Q58">
        <v>-9.0662414550000001</v>
      </c>
      <c r="R58" s="4">
        <f>B58*_xlfn.XLOOKUP("Cement",Emission_Factors!$A$2:$A$13,Emission_Factors!$C$2:$C$13)+C58*_xlfn.XLOOKUP("Slag",Emission_Factors!$A$2:$A$13,Emission_Factors!$C$2:$C$13)+D58*_xlfn.XLOOKUP("Silica_Fume",Emission_Factors!$A$2:$A$13,Emission_Factors!$C$2:$C$13)+E58*_xlfn.XLOOKUP("Limestone_Powder",Emission_Factors!$A$2:$A$13,Emission_Factors!$C$2:$C$13)+F58*_xlfn.XLOOKUP("Quartz_Powder",Emission_Factors!$A$2:$A$13,Emission_Factors!$C$2:$C$13)+G58*_xlfn.XLOOKUP("Fly_Ash",Emission_Factors!$A$2:$A$13,Emission_Factors!$C$2:$C$13)+H58*_xlfn.XLOOKUP("Nano_Silica",Emission_Factors!$A$2:$A$13,Emission_Factors!$C$2:$C$13)+I58*_xlfn.XLOOKUP("Aggregate",Emission_Factors!$A$2:$A$13,Emission_Factors!$C$2:$C$13)+J58*_xlfn.XLOOKUP("Water",Emission_Factors!$A$2:$A$13,Emission_Factors!$C$2:$C$13)+K58*_xlfn.XLOOKUP("Fiber_Virgin",Emission_Factors!$A$2:$A$13,Emission_Factors!$C$2:$C$13)+L58*_xlfn.XLOOKUP("Superplasticizer",Emission_Factors!$A$2:$A$13,Emission_Factors!$C$2:$C$13)</f>
        <v>826.91188799999998</v>
      </c>
      <c r="S58" s="4">
        <f>B58*_xlfn.XLOOKUP("Cement",Emission_Factors!$A$2:$A$13,Emission_Factors!$C$2:$C$13)+C58*_xlfn.XLOOKUP("Slag",Emission_Factors!$A$2:$A$13,Emission_Factors!$C$2:$C$13)+D58*_xlfn.XLOOKUP("Silica_Fume",Emission_Factors!$A$2:$A$13,Emission_Factors!$C$2:$C$13)+E58*_xlfn.XLOOKUP("Limestone_Powder",Emission_Factors!$A$2:$A$13,Emission_Factors!$C$2:$C$13)+F58*_xlfn.XLOOKUP("Quartz_Powder",Emission_Factors!$A$2:$A$13,Emission_Factors!$C$2:$C$13)+G58*_xlfn.XLOOKUP("Fly_Ash",Emission_Factors!$A$2:$A$13,Emission_Factors!$C$2:$C$13)+H58*_xlfn.XLOOKUP("Nano_Silica",Emission_Factors!$A$2:$A$13,Emission_Factors!$C$2:$C$13)+I58*_xlfn.XLOOKUP("Aggregate",Emission_Factors!$A$2:$A$13,Emission_Factors!$C$2:$C$13)+J58*_xlfn.XLOOKUP("Water",Emission_Factors!$A$2:$A$13,Emission_Factors!$C$2:$C$13)+K58*_xlfn.XLOOKUP("Fiber_Recycled",Emission_Factors!$A$2:$A$13,Emission_Factors!$C$2:$C$13)+L58*_xlfn.XLOOKUP("Superplasticizer",Emission_Factors!$A$2:$A$13,Emission_Factors!$C$2:$C$13)</f>
        <v>577.31188799999995</v>
      </c>
    </row>
    <row r="59" spans="1:19" x14ac:dyDescent="0.25">
      <c r="A59">
        <v>273</v>
      </c>
      <c r="B59">
        <v>874.9</v>
      </c>
      <c r="C59">
        <v>0</v>
      </c>
      <c r="D59">
        <v>43.7</v>
      </c>
      <c r="E59">
        <v>0</v>
      </c>
      <c r="F59">
        <v>0</v>
      </c>
      <c r="G59">
        <v>0</v>
      </c>
      <c r="H59">
        <v>0</v>
      </c>
      <c r="I59">
        <v>1273.4000000000001</v>
      </c>
      <c r="J59">
        <v>202.1</v>
      </c>
      <c r="K59">
        <v>78</v>
      </c>
      <c r="L59">
        <v>45.9</v>
      </c>
      <c r="M59">
        <v>21</v>
      </c>
      <c r="N59">
        <v>7</v>
      </c>
      <c r="O59">
        <v>108.73</v>
      </c>
      <c r="P59">
        <v>106.54806499999999</v>
      </c>
      <c r="Q59">
        <v>2.1819348139999999</v>
      </c>
      <c r="R59" s="4">
        <f>B59*_xlfn.XLOOKUP("Cement",Emission_Factors!$A$2:$A$13,Emission_Factors!$C$2:$C$13)+C59*_xlfn.XLOOKUP("Slag",Emission_Factors!$A$2:$A$13,Emission_Factors!$C$2:$C$13)+D59*_xlfn.XLOOKUP("Silica_Fume",Emission_Factors!$A$2:$A$13,Emission_Factors!$C$2:$C$13)+E59*_xlfn.XLOOKUP("Limestone_Powder",Emission_Factors!$A$2:$A$13,Emission_Factors!$C$2:$C$13)+F59*_xlfn.XLOOKUP("Quartz_Powder",Emission_Factors!$A$2:$A$13,Emission_Factors!$C$2:$C$13)+G59*_xlfn.XLOOKUP("Fly_Ash",Emission_Factors!$A$2:$A$13,Emission_Factors!$C$2:$C$13)+H59*_xlfn.XLOOKUP("Nano_Silica",Emission_Factors!$A$2:$A$13,Emission_Factors!$C$2:$C$13)+I59*_xlfn.XLOOKUP("Aggregate",Emission_Factors!$A$2:$A$13,Emission_Factors!$C$2:$C$13)+J59*_xlfn.XLOOKUP("Water",Emission_Factors!$A$2:$A$13,Emission_Factors!$C$2:$C$13)+K59*_xlfn.XLOOKUP("Fiber_Virgin",Emission_Factors!$A$2:$A$13,Emission_Factors!$C$2:$C$13)+L59*_xlfn.XLOOKUP("Superplasticizer",Emission_Factors!$A$2:$A$13,Emission_Factors!$C$2:$C$13)</f>
        <v>971.51501159999987</v>
      </c>
      <c r="S59" s="4">
        <f>B59*_xlfn.XLOOKUP("Cement",Emission_Factors!$A$2:$A$13,Emission_Factors!$C$2:$C$13)+C59*_xlfn.XLOOKUP("Slag",Emission_Factors!$A$2:$A$13,Emission_Factors!$C$2:$C$13)+D59*_xlfn.XLOOKUP("Silica_Fume",Emission_Factors!$A$2:$A$13,Emission_Factors!$C$2:$C$13)+E59*_xlfn.XLOOKUP("Limestone_Powder",Emission_Factors!$A$2:$A$13,Emission_Factors!$C$2:$C$13)+F59*_xlfn.XLOOKUP("Quartz_Powder",Emission_Factors!$A$2:$A$13,Emission_Factors!$C$2:$C$13)+G59*_xlfn.XLOOKUP("Fly_Ash",Emission_Factors!$A$2:$A$13,Emission_Factors!$C$2:$C$13)+H59*_xlfn.XLOOKUP("Nano_Silica",Emission_Factors!$A$2:$A$13,Emission_Factors!$C$2:$C$13)+I59*_xlfn.XLOOKUP("Aggregate",Emission_Factors!$A$2:$A$13,Emission_Factors!$C$2:$C$13)+J59*_xlfn.XLOOKUP("Water",Emission_Factors!$A$2:$A$13,Emission_Factors!$C$2:$C$13)+K59*_xlfn.XLOOKUP("Fiber_Recycled",Emission_Factors!$A$2:$A$13,Emission_Factors!$C$2:$C$13)+L59*_xlfn.XLOOKUP("Superplasticizer",Emission_Factors!$A$2:$A$13,Emission_Factors!$C$2:$C$13)</f>
        <v>846.71501159999991</v>
      </c>
    </row>
    <row r="60" spans="1:19" x14ac:dyDescent="0.25">
      <c r="A60">
        <v>276</v>
      </c>
      <c r="B60">
        <v>890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1231</v>
      </c>
      <c r="J60">
        <v>178</v>
      </c>
      <c r="K60">
        <v>0</v>
      </c>
      <c r="L60">
        <v>30.2</v>
      </c>
      <c r="M60">
        <v>21</v>
      </c>
      <c r="N60">
        <v>56</v>
      </c>
      <c r="O60">
        <v>108.8</v>
      </c>
      <c r="P60">
        <v>113.44576000000001</v>
      </c>
      <c r="Q60">
        <v>-4.6457626339999996</v>
      </c>
      <c r="R60" s="4">
        <f>B60*_xlfn.XLOOKUP("Cement",Emission_Factors!$A$2:$A$13,Emission_Factors!$C$2:$C$13)+C60*_xlfn.XLOOKUP("Slag",Emission_Factors!$A$2:$A$13,Emission_Factors!$C$2:$C$13)+D60*_xlfn.XLOOKUP("Silica_Fume",Emission_Factors!$A$2:$A$13,Emission_Factors!$C$2:$C$13)+E60*_xlfn.XLOOKUP("Limestone_Powder",Emission_Factors!$A$2:$A$13,Emission_Factors!$C$2:$C$13)+F60*_xlfn.XLOOKUP("Quartz_Powder",Emission_Factors!$A$2:$A$13,Emission_Factors!$C$2:$C$13)+G60*_xlfn.XLOOKUP("Fly_Ash",Emission_Factors!$A$2:$A$13,Emission_Factors!$C$2:$C$13)+H60*_xlfn.XLOOKUP("Nano_Silica",Emission_Factors!$A$2:$A$13,Emission_Factors!$C$2:$C$13)+I60*_xlfn.XLOOKUP("Aggregate",Emission_Factors!$A$2:$A$13,Emission_Factors!$C$2:$C$13)+J60*_xlfn.XLOOKUP("Water",Emission_Factors!$A$2:$A$13,Emission_Factors!$C$2:$C$13)+K60*_xlfn.XLOOKUP("Fiber_Virgin",Emission_Factors!$A$2:$A$13,Emission_Factors!$C$2:$C$13)+L60*_xlfn.XLOOKUP("Superplasticizer",Emission_Factors!$A$2:$A$13,Emission_Factors!$C$2:$C$13)</f>
        <v>773.39868799999988</v>
      </c>
      <c r="S60" s="4">
        <f>B60*_xlfn.XLOOKUP("Cement",Emission_Factors!$A$2:$A$13,Emission_Factors!$C$2:$C$13)+C60*_xlfn.XLOOKUP("Slag",Emission_Factors!$A$2:$A$13,Emission_Factors!$C$2:$C$13)+D60*_xlfn.XLOOKUP("Silica_Fume",Emission_Factors!$A$2:$A$13,Emission_Factors!$C$2:$C$13)+E60*_xlfn.XLOOKUP("Limestone_Powder",Emission_Factors!$A$2:$A$13,Emission_Factors!$C$2:$C$13)+F60*_xlfn.XLOOKUP("Quartz_Powder",Emission_Factors!$A$2:$A$13,Emission_Factors!$C$2:$C$13)+G60*_xlfn.XLOOKUP("Fly_Ash",Emission_Factors!$A$2:$A$13,Emission_Factors!$C$2:$C$13)+H60*_xlfn.XLOOKUP("Nano_Silica",Emission_Factors!$A$2:$A$13,Emission_Factors!$C$2:$C$13)+I60*_xlfn.XLOOKUP("Aggregate",Emission_Factors!$A$2:$A$13,Emission_Factors!$C$2:$C$13)+J60*_xlfn.XLOOKUP("Water",Emission_Factors!$A$2:$A$13,Emission_Factors!$C$2:$C$13)+K60*_xlfn.XLOOKUP("Fiber_Recycled",Emission_Factors!$A$2:$A$13,Emission_Factors!$C$2:$C$13)+L60*_xlfn.XLOOKUP("Superplasticizer",Emission_Factors!$A$2:$A$13,Emission_Factors!$C$2:$C$13)</f>
        <v>773.39868799999988</v>
      </c>
    </row>
    <row r="61" spans="1:19" x14ac:dyDescent="0.25">
      <c r="A61">
        <v>288</v>
      </c>
      <c r="B61">
        <v>841.6</v>
      </c>
      <c r="C61">
        <v>0</v>
      </c>
      <c r="D61">
        <v>215.8</v>
      </c>
      <c r="E61">
        <v>0</v>
      </c>
      <c r="F61">
        <v>0</v>
      </c>
      <c r="G61">
        <v>0</v>
      </c>
      <c r="H61">
        <v>21.6</v>
      </c>
      <c r="I61">
        <v>1079</v>
      </c>
      <c r="J61">
        <v>177</v>
      </c>
      <c r="K61">
        <v>0</v>
      </c>
      <c r="L61">
        <v>21.6</v>
      </c>
      <c r="M61">
        <v>20</v>
      </c>
      <c r="N61">
        <v>28</v>
      </c>
      <c r="O61">
        <v>110.3</v>
      </c>
      <c r="P61">
        <v>114.23111</v>
      </c>
      <c r="Q61">
        <v>-3.9311096189999999</v>
      </c>
      <c r="R61" s="4">
        <f>B61*_xlfn.XLOOKUP("Cement",Emission_Factors!$A$2:$A$13,Emission_Factors!$C$2:$C$13)+C61*_xlfn.XLOOKUP("Slag",Emission_Factors!$A$2:$A$13,Emission_Factors!$C$2:$C$13)+D61*_xlfn.XLOOKUP("Silica_Fume",Emission_Factors!$A$2:$A$13,Emission_Factors!$C$2:$C$13)+E61*_xlfn.XLOOKUP("Limestone_Powder",Emission_Factors!$A$2:$A$13,Emission_Factors!$C$2:$C$13)+F61*_xlfn.XLOOKUP("Quartz_Powder",Emission_Factors!$A$2:$A$13,Emission_Factors!$C$2:$C$13)+G61*_xlfn.XLOOKUP("Fly_Ash",Emission_Factors!$A$2:$A$13,Emission_Factors!$C$2:$C$13)+H61*_xlfn.XLOOKUP("Nano_Silica",Emission_Factors!$A$2:$A$13,Emission_Factors!$C$2:$C$13)+I61*_xlfn.XLOOKUP("Aggregate",Emission_Factors!$A$2:$A$13,Emission_Factors!$C$2:$C$13)+J61*_xlfn.XLOOKUP("Water",Emission_Factors!$A$2:$A$13,Emission_Factors!$C$2:$C$13)+K61*_xlfn.XLOOKUP("Fiber_Virgin",Emission_Factors!$A$2:$A$13,Emission_Factors!$C$2:$C$13)+L61*_xlfn.XLOOKUP("Superplasticizer",Emission_Factors!$A$2:$A$13,Emission_Factors!$C$2:$C$13)</f>
        <v>759.76929199999995</v>
      </c>
      <c r="S61" s="4">
        <f>B61*_xlfn.XLOOKUP("Cement",Emission_Factors!$A$2:$A$13,Emission_Factors!$C$2:$C$13)+C61*_xlfn.XLOOKUP("Slag",Emission_Factors!$A$2:$A$13,Emission_Factors!$C$2:$C$13)+D61*_xlfn.XLOOKUP("Silica_Fume",Emission_Factors!$A$2:$A$13,Emission_Factors!$C$2:$C$13)+E61*_xlfn.XLOOKUP("Limestone_Powder",Emission_Factors!$A$2:$A$13,Emission_Factors!$C$2:$C$13)+F61*_xlfn.XLOOKUP("Quartz_Powder",Emission_Factors!$A$2:$A$13,Emission_Factors!$C$2:$C$13)+G61*_xlfn.XLOOKUP("Fly_Ash",Emission_Factors!$A$2:$A$13,Emission_Factors!$C$2:$C$13)+H61*_xlfn.XLOOKUP("Nano_Silica",Emission_Factors!$A$2:$A$13,Emission_Factors!$C$2:$C$13)+I61*_xlfn.XLOOKUP("Aggregate",Emission_Factors!$A$2:$A$13,Emission_Factors!$C$2:$C$13)+J61*_xlfn.XLOOKUP("Water",Emission_Factors!$A$2:$A$13,Emission_Factors!$C$2:$C$13)+K61*_xlfn.XLOOKUP("Fiber_Recycled",Emission_Factors!$A$2:$A$13,Emission_Factors!$C$2:$C$13)+L61*_xlfn.XLOOKUP("Superplasticizer",Emission_Factors!$A$2:$A$13,Emission_Factors!$C$2:$C$13)</f>
        <v>759.76929199999995</v>
      </c>
    </row>
    <row r="62" spans="1:19" x14ac:dyDescent="0.25">
      <c r="A62">
        <v>292</v>
      </c>
      <c r="B62">
        <v>777</v>
      </c>
      <c r="C62">
        <v>0</v>
      </c>
      <c r="D62">
        <v>155</v>
      </c>
      <c r="E62">
        <v>233</v>
      </c>
      <c r="F62">
        <v>0</v>
      </c>
      <c r="G62">
        <v>0</v>
      </c>
      <c r="H62">
        <v>0</v>
      </c>
      <c r="I62">
        <v>816</v>
      </c>
      <c r="J62">
        <v>169</v>
      </c>
      <c r="K62">
        <v>78</v>
      </c>
      <c r="L62">
        <v>40.64</v>
      </c>
      <c r="M62">
        <v>23</v>
      </c>
      <c r="N62">
        <v>14</v>
      </c>
      <c r="O62">
        <v>110.93</v>
      </c>
      <c r="P62">
        <v>122.43336499999999</v>
      </c>
      <c r="Q62">
        <v>-11.50336487</v>
      </c>
      <c r="R62" s="4">
        <f>B62*_xlfn.XLOOKUP("Cement",Emission_Factors!$A$2:$A$13,Emission_Factors!$C$2:$C$13)+C62*_xlfn.XLOOKUP("Slag",Emission_Factors!$A$2:$A$13,Emission_Factors!$C$2:$C$13)+D62*_xlfn.XLOOKUP("Silica_Fume",Emission_Factors!$A$2:$A$13,Emission_Factors!$C$2:$C$13)+E62*_xlfn.XLOOKUP("Limestone_Powder",Emission_Factors!$A$2:$A$13,Emission_Factors!$C$2:$C$13)+F62*_xlfn.XLOOKUP("Quartz_Powder",Emission_Factors!$A$2:$A$13,Emission_Factors!$C$2:$C$13)+G62*_xlfn.XLOOKUP("Fly_Ash",Emission_Factors!$A$2:$A$13,Emission_Factors!$C$2:$C$13)+H62*_xlfn.XLOOKUP("Nano_Silica",Emission_Factors!$A$2:$A$13,Emission_Factors!$C$2:$C$13)+I62*_xlfn.XLOOKUP("Aggregate",Emission_Factors!$A$2:$A$13,Emission_Factors!$C$2:$C$13)+J62*_xlfn.XLOOKUP("Water",Emission_Factors!$A$2:$A$13,Emission_Factors!$C$2:$C$13)+K62*_xlfn.XLOOKUP("Fiber_Virgin",Emission_Factors!$A$2:$A$13,Emission_Factors!$C$2:$C$13)+L62*_xlfn.XLOOKUP("Superplasticizer",Emission_Factors!$A$2:$A$13,Emission_Factors!$C$2:$C$13)</f>
        <v>888.51828399999999</v>
      </c>
      <c r="S62" s="4">
        <f>B62*_xlfn.XLOOKUP("Cement",Emission_Factors!$A$2:$A$13,Emission_Factors!$C$2:$C$13)+C62*_xlfn.XLOOKUP("Slag",Emission_Factors!$A$2:$A$13,Emission_Factors!$C$2:$C$13)+D62*_xlfn.XLOOKUP("Silica_Fume",Emission_Factors!$A$2:$A$13,Emission_Factors!$C$2:$C$13)+E62*_xlfn.XLOOKUP("Limestone_Powder",Emission_Factors!$A$2:$A$13,Emission_Factors!$C$2:$C$13)+F62*_xlfn.XLOOKUP("Quartz_Powder",Emission_Factors!$A$2:$A$13,Emission_Factors!$C$2:$C$13)+G62*_xlfn.XLOOKUP("Fly_Ash",Emission_Factors!$A$2:$A$13,Emission_Factors!$C$2:$C$13)+H62*_xlfn.XLOOKUP("Nano_Silica",Emission_Factors!$A$2:$A$13,Emission_Factors!$C$2:$C$13)+I62*_xlfn.XLOOKUP("Aggregate",Emission_Factors!$A$2:$A$13,Emission_Factors!$C$2:$C$13)+J62*_xlfn.XLOOKUP("Water",Emission_Factors!$A$2:$A$13,Emission_Factors!$C$2:$C$13)+K62*_xlfn.XLOOKUP("Fiber_Recycled",Emission_Factors!$A$2:$A$13,Emission_Factors!$C$2:$C$13)+L62*_xlfn.XLOOKUP("Superplasticizer",Emission_Factors!$A$2:$A$13,Emission_Factors!$C$2:$C$13)</f>
        <v>763.71828400000004</v>
      </c>
    </row>
    <row r="63" spans="1:19" x14ac:dyDescent="0.25">
      <c r="A63">
        <v>295</v>
      </c>
      <c r="B63">
        <v>800</v>
      </c>
      <c r="C63">
        <v>0</v>
      </c>
      <c r="D63">
        <v>200</v>
      </c>
      <c r="E63">
        <v>0</v>
      </c>
      <c r="F63">
        <v>0</v>
      </c>
      <c r="G63">
        <v>0</v>
      </c>
      <c r="H63">
        <v>0</v>
      </c>
      <c r="I63">
        <v>1080</v>
      </c>
      <c r="J63">
        <v>200</v>
      </c>
      <c r="K63">
        <v>0</v>
      </c>
      <c r="L63">
        <v>14.4</v>
      </c>
      <c r="M63">
        <v>20</v>
      </c>
      <c r="N63">
        <v>7</v>
      </c>
      <c r="O63">
        <v>111</v>
      </c>
      <c r="P63">
        <v>99.156419999999997</v>
      </c>
      <c r="Q63">
        <v>11.84358215</v>
      </c>
      <c r="R63" s="4">
        <f>B63*_xlfn.XLOOKUP("Cement",Emission_Factors!$A$2:$A$13,Emission_Factors!$C$2:$C$13)+C63*_xlfn.XLOOKUP("Slag",Emission_Factors!$A$2:$A$13,Emission_Factors!$C$2:$C$13)+D63*_xlfn.XLOOKUP("Silica_Fume",Emission_Factors!$A$2:$A$13,Emission_Factors!$C$2:$C$13)+E63*_xlfn.XLOOKUP("Limestone_Powder",Emission_Factors!$A$2:$A$13,Emission_Factors!$C$2:$C$13)+F63*_xlfn.XLOOKUP("Quartz_Powder",Emission_Factors!$A$2:$A$13,Emission_Factors!$C$2:$C$13)+G63*_xlfn.XLOOKUP("Fly_Ash",Emission_Factors!$A$2:$A$13,Emission_Factors!$C$2:$C$13)+H63*_xlfn.XLOOKUP("Nano_Silica",Emission_Factors!$A$2:$A$13,Emission_Factors!$C$2:$C$13)+I63*_xlfn.XLOOKUP("Aggregate",Emission_Factors!$A$2:$A$13,Emission_Factors!$C$2:$C$13)+J63*_xlfn.XLOOKUP("Water",Emission_Factors!$A$2:$A$13,Emission_Factors!$C$2:$C$13)+K63*_xlfn.XLOOKUP("Fiber_Virgin",Emission_Factors!$A$2:$A$13,Emission_Factors!$C$2:$C$13)+L63*_xlfn.XLOOKUP("Superplasticizer",Emission_Factors!$A$2:$A$13,Emission_Factors!$C$2:$C$13)</f>
        <v>685.83280000000002</v>
      </c>
      <c r="S63" s="4">
        <f>B63*_xlfn.XLOOKUP("Cement",Emission_Factors!$A$2:$A$13,Emission_Factors!$C$2:$C$13)+C63*_xlfn.XLOOKUP("Slag",Emission_Factors!$A$2:$A$13,Emission_Factors!$C$2:$C$13)+D63*_xlfn.XLOOKUP("Silica_Fume",Emission_Factors!$A$2:$A$13,Emission_Factors!$C$2:$C$13)+E63*_xlfn.XLOOKUP("Limestone_Powder",Emission_Factors!$A$2:$A$13,Emission_Factors!$C$2:$C$13)+F63*_xlfn.XLOOKUP("Quartz_Powder",Emission_Factors!$A$2:$A$13,Emission_Factors!$C$2:$C$13)+G63*_xlfn.XLOOKUP("Fly_Ash",Emission_Factors!$A$2:$A$13,Emission_Factors!$C$2:$C$13)+H63*_xlfn.XLOOKUP("Nano_Silica",Emission_Factors!$A$2:$A$13,Emission_Factors!$C$2:$C$13)+I63*_xlfn.XLOOKUP("Aggregate",Emission_Factors!$A$2:$A$13,Emission_Factors!$C$2:$C$13)+J63*_xlfn.XLOOKUP("Water",Emission_Factors!$A$2:$A$13,Emission_Factors!$C$2:$C$13)+K63*_xlfn.XLOOKUP("Fiber_Recycled",Emission_Factors!$A$2:$A$13,Emission_Factors!$C$2:$C$13)+L63*_xlfn.XLOOKUP("Superplasticizer",Emission_Factors!$A$2:$A$13,Emission_Factors!$C$2:$C$13)</f>
        <v>685.83280000000002</v>
      </c>
    </row>
    <row r="64" spans="1:19" x14ac:dyDescent="0.25">
      <c r="A64">
        <v>300</v>
      </c>
      <c r="B64">
        <v>594.20000000000005</v>
      </c>
      <c r="C64">
        <v>0</v>
      </c>
      <c r="D64">
        <v>0</v>
      </c>
      <c r="E64">
        <v>265.3</v>
      </c>
      <c r="F64">
        <v>0</v>
      </c>
      <c r="G64">
        <v>0</v>
      </c>
      <c r="H64">
        <v>24.8</v>
      </c>
      <c r="I64">
        <v>1282.3</v>
      </c>
      <c r="J64">
        <v>176.9</v>
      </c>
      <c r="K64">
        <v>156</v>
      </c>
      <c r="L64">
        <v>44.2</v>
      </c>
      <c r="M64">
        <v>21</v>
      </c>
      <c r="N64">
        <v>7</v>
      </c>
      <c r="O64">
        <v>112.22</v>
      </c>
      <c r="P64">
        <v>114.79608</v>
      </c>
      <c r="Q64">
        <v>-2.5760815429999999</v>
      </c>
      <c r="R64" s="4">
        <f>B64*_xlfn.XLOOKUP("Cement",Emission_Factors!$A$2:$A$13,Emission_Factors!$C$2:$C$13)+C64*_xlfn.XLOOKUP("Slag",Emission_Factors!$A$2:$A$13,Emission_Factors!$C$2:$C$13)+D64*_xlfn.XLOOKUP("Silica_Fume",Emission_Factors!$A$2:$A$13,Emission_Factors!$C$2:$C$13)+E64*_xlfn.XLOOKUP("Limestone_Powder",Emission_Factors!$A$2:$A$13,Emission_Factors!$C$2:$C$13)+F64*_xlfn.XLOOKUP("Quartz_Powder",Emission_Factors!$A$2:$A$13,Emission_Factors!$C$2:$C$13)+G64*_xlfn.XLOOKUP("Fly_Ash",Emission_Factors!$A$2:$A$13,Emission_Factors!$C$2:$C$13)+H64*_xlfn.XLOOKUP("Nano_Silica",Emission_Factors!$A$2:$A$13,Emission_Factors!$C$2:$C$13)+I64*_xlfn.XLOOKUP("Aggregate",Emission_Factors!$A$2:$A$13,Emission_Factors!$C$2:$C$13)+J64*_xlfn.XLOOKUP("Water",Emission_Factors!$A$2:$A$13,Emission_Factors!$C$2:$C$13)+K64*_xlfn.XLOOKUP("Fiber_Virgin",Emission_Factors!$A$2:$A$13,Emission_Factors!$C$2:$C$13)+L64*_xlfn.XLOOKUP("Superplasticizer",Emission_Factors!$A$2:$A$13,Emission_Factors!$C$2:$C$13)</f>
        <v>973.06707240000003</v>
      </c>
      <c r="S64" s="4">
        <f>B64*_xlfn.XLOOKUP("Cement",Emission_Factors!$A$2:$A$13,Emission_Factors!$C$2:$C$13)+C64*_xlfn.XLOOKUP("Slag",Emission_Factors!$A$2:$A$13,Emission_Factors!$C$2:$C$13)+D64*_xlfn.XLOOKUP("Silica_Fume",Emission_Factors!$A$2:$A$13,Emission_Factors!$C$2:$C$13)+E64*_xlfn.XLOOKUP("Limestone_Powder",Emission_Factors!$A$2:$A$13,Emission_Factors!$C$2:$C$13)+F64*_xlfn.XLOOKUP("Quartz_Powder",Emission_Factors!$A$2:$A$13,Emission_Factors!$C$2:$C$13)+G64*_xlfn.XLOOKUP("Fly_Ash",Emission_Factors!$A$2:$A$13,Emission_Factors!$C$2:$C$13)+H64*_xlfn.XLOOKUP("Nano_Silica",Emission_Factors!$A$2:$A$13,Emission_Factors!$C$2:$C$13)+I64*_xlfn.XLOOKUP("Aggregate",Emission_Factors!$A$2:$A$13,Emission_Factors!$C$2:$C$13)+J64*_xlfn.XLOOKUP("Water",Emission_Factors!$A$2:$A$13,Emission_Factors!$C$2:$C$13)+K64*_xlfn.XLOOKUP("Fiber_Recycled",Emission_Factors!$A$2:$A$13,Emission_Factors!$C$2:$C$13)+L64*_xlfn.XLOOKUP("Superplasticizer",Emission_Factors!$A$2:$A$13,Emission_Factors!$C$2:$C$13)</f>
        <v>723.46707240000001</v>
      </c>
    </row>
    <row r="65" spans="1:19" x14ac:dyDescent="0.25">
      <c r="A65">
        <v>308</v>
      </c>
      <c r="B65">
        <v>890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1231</v>
      </c>
      <c r="J65">
        <v>178</v>
      </c>
      <c r="K65">
        <v>0</v>
      </c>
      <c r="L65">
        <v>30.2</v>
      </c>
      <c r="M65">
        <v>21</v>
      </c>
      <c r="N65">
        <v>28</v>
      </c>
      <c r="O65">
        <v>113.2</v>
      </c>
      <c r="P65">
        <v>106.10585</v>
      </c>
      <c r="Q65">
        <v>7.0941497800000004</v>
      </c>
      <c r="R65" s="4">
        <f>B65*_xlfn.XLOOKUP("Cement",Emission_Factors!$A$2:$A$13,Emission_Factors!$C$2:$C$13)+C65*_xlfn.XLOOKUP("Slag",Emission_Factors!$A$2:$A$13,Emission_Factors!$C$2:$C$13)+D65*_xlfn.XLOOKUP("Silica_Fume",Emission_Factors!$A$2:$A$13,Emission_Factors!$C$2:$C$13)+E65*_xlfn.XLOOKUP("Limestone_Powder",Emission_Factors!$A$2:$A$13,Emission_Factors!$C$2:$C$13)+F65*_xlfn.XLOOKUP("Quartz_Powder",Emission_Factors!$A$2:$A$13,Emission_Factors!$C$2:$C$13)+G65*_xlfn.XLOOKUP("Fly_Ash",Emission_Factors!$A$2:$A$13,Emission_Factors!$C$2:$C$13)+H65*_xlfn.XLOOKUP("Nano_Silica",Emission_Factors!$A$2:$A$13,Emission_Factors!$C$2:$C$13)+I65*_xlfn.XLOOKUP("Aggregate",Emission_Factors!$A$2:$A$13,Emission_Factors!$C$2:$C$13)+J65*_xlfn.XLOOKUP("Water",Emission_Factors!$A$2:$A$13,Emission_Factors!$C$2:$C$13)+K65*_xlfn.XLOOKUP("Fiber_Virgin",Emission_Factors!$A$2:$A$13,Emission_Factors!$C$2:$C$13)+L65*_xlfn.XLOOKUP("Superplasticizer",Emission_Factors!$A$2:$A$13,Emission_Factors!$C$2:$C$13)</f>
        <v>773.39868799999988</v>
      </c>
      <c r="S65" s="4">
        <f>B65*_xlfn.XLOOKUP("Cement",Emission_Factors!$A$2:$A$13,Emission_Factors!$C$2:$C$13)+C65*_xlfn.XLOOKUP("Slag",Emission_Factors!$A$2:$A$13,Emission_Factors!$C$2:$C$13)+D65*_xlfn.XLOOKUP("Silica_Fume",Emission_Factors!$A$2:$A$13,Emission_Factors!$C$2:$C$13)+E65*_xlfn.XLOOKUP("Limestone_Powder",Emission_Factors!$A$2:$A$13,Emission_Factors!$C$2:$C$13)+F65*_xlfn.XLOOKUP("Quartz_Powder",Emission_Factors!$A$2:$A$13,Emission_Factors!$C$2:$C$13)+G65*_xlfn.XLOOKUP("Fly_Ash",Emission_Factors!$A$2:$A$13,Emission_Factors!$C$2:$C$13)+H65*_xlfn.XLOOKUP("Nano_Silica",Emission_Factors!$A$2:$A$13,Emission_Factors!$C$2:$C$13)+I65*_xlfn.XLOOKUP("Aggregate",Emission_Factors!$A$2:$A$13,Emission_Factors!$C$2:$C$13)+J65*_xlfn.XLOOKUP("Water",Emission_Factors!$A$2:$A$13,Emission_Factors!$C$2:$C$13)+K65*_xlfn.XLOOKUP("Fiber_Recycled",Emission_Factors!$A$2:$A$13,Emission_Factors!$C$2:$C$13)+L65*_xlfn.XLOOKUP("Superplasticizer",Emission_Factors!$A$2:$A$13,Emission_Factors!$C$2:$C$13)</f>
        <v>773.39868799999988</v>
      </c>
    </row>
    <row r="66" spans="1:19" x14ac:dyDescent="0.25">
      <c r="A66">
        <v>313</v>
      </c>
      <c r="B66">
        <v>852</v>
      </c>
      <c r="C66">
        <v>0</v>
      </c>
      <c r="D66">
        <v>216</v>
      </c>
      <c r="E66">
        <v>0</v>
      </c>
      <c r="F66">
        <v>0</v>
      </c>
      <c r="G66">
        <v>0</v>
      </c>
      <c r="H66">
        <v>10.8</v>
      </c>
      <c r="I66">
        <v>1079</v>
      </c>
      <c r="J66">
        <v>177</v>
      </c>
      <c r="K66">
        <v>0</v>
      </c>
      <c r="L66">
        <v>21.6</v>
      </c>
      <c r="M66">
        <v>23</v>
      </c>
      <c r="N66">
        <v>28</v>
      </c>
      <c r="O66">
        <v>113.58</v>
      </c>
      <c r="P66">
        <v>116.84017</v>
      </c>
      <c r="Q66">
        <v>-3.260171814</v>
      </c>
      <c r="R66" s="4">
        <f>B66*_xlfn.XLOOKUP("Cement",Emission_Factors!$A$2:$A$13,Emission_Factors!$C$2:$C$13)+C66*_xlfn.XLOOKUP("Slag",Emission_Factors!$A$2:$A$13,Emission_Factors!$C$2:$C$13)+D66*_xlfn.XLOOKUP("Silica_Fume",Emission_Factors!$A$2:$A$13,Emission_Factors!$C$2:$C$13)+E66*_xlfn.XLOOKUP("Limestone_Powder",Emission_Factors!$A$2:$A$13,Emission_Factors!$C$2:$C$13)+F66*_xlfn.XLOOKUP("Quartz_Powder",Emission_Factors!$A$2:$A$13,Emission_Factors!$C$2:$C$13)+G66*_xlfn.XLOOKUP("Fly_Ash",Emission_Factors!$A$2:$A$13,Emission_Factors!$C$2:$C$13)+H66*_xlfn.XLOOKUP("Nano_Silica",Emission_Factors!$A$2:$A$13,Emission_Factors!$C$2:$C$13)+I66*_xlfn.XLOOKUP("Aggregate",Emission_Factors!$A$2:$A$13,Emission_Factors!$C$2:$C$13)+J66*_xlfn.XLOOKUP("Water",Emission_Factors!$A$2:$A$13,Emission_Factors!$C$2:$C$13)+K66*_xlfn.XLOOKUP("Fiber_Virgin",Emission_Factors!$A$2:$A$13,Emission_Factors!$C$2:$C$13)+L66*_xlfn.XLOOKUP("Superplasticizer",Emission_Factors!$A$2:$A$13,Emission_Factors!$C$2:$C$13)</f>
        <v>752.20409199999995</v>
      </c>
      <c r="S66" s="4">
        <f>B66*_xlfn.XLOOKUP("Cement",Emission_Factors!$A$2:$A$13,Emission_Factors!$C$2:$C$13)+C66*_xlfn.XLOOKUP("Slag",Emission_Factors!$A$2:$A$13,Emission_Factors!$C$2:$C$13)+D66*_xlfn.XLOOKUP("Silica_Fume",Emission_Factors!$A$2:$A$13,Emission_Factors!$C$2:$C$13)+E66*_xlfn.XLOOKUP("Limestone_Powder",Emission_Factors!$A$2:$A$13,Emission_Factors!$C$2:$C$13)+F66*_xlfn.XLOOKUP("Quartz_Powder",Emission_Factors!$A$2:$A$13,Emission_Factors!$C$2:$C$13)+G66*_xlfn.XLOOKUP("Fly_Ash",Emission_Factors!$A$2:$A$13,Emission_Factors!$C$2:$C$13)+H66*_xlfn.XLOOKUP("Nano_Silica",Emission_Factors!$A$2:$A$13,Emission_Factors!$C$2:$C$13)+I66*_xlfn.XLOOKUP("Aggregate",Emission_Factors!$A$2:$A$13,Emission_Factors!$C$2:$C$13)+J66*_xlfn.XLOOKUP("Water",Emission_Factors!$A$2:$A$13,Emission_Factors!$C$2:$C$13)+K66*_xlfn.XLOOKUP("Fiber_Recycled",Emission_Factors!$A$2:$A$13,Emission_Factors!$C$2:$C$13)+L66*_xlfn.XLOOKUP("Superplasticizer",Emission_Factors!$A$2:$A$13,Emission_Factors!$C$2:$C$13)</f>
        <v>752.20409199999995</v>
      </c>
    </row>
    <row r="67" spans="1:19" x14ac:dyDescent="0.25">
      <c r="A67">
        <v>315</v>
      </c>
      <c r="B67">
        <v>1009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1231</v>
      </c>
      <c r="J67">
        <v>201.8</v>
      </c>
      <c r="K67">
        <v>0</v>
      </c>
      <c r="L67">
        <v>34.200000000000003</v>
      </c>
      <c r="M67">
        <v>21</v>
      </c>
      <c r="N67">
        <v>28</v>
      </c>
      <c r="O67">
        <v>113.8</v>
      </c>
      <c r="P67">
        <v>113.539215</v>
      </c>
      <c r="Q67">
        <v>0.26078491199999998</v>
      </c>
      <c r="R67" s="4">
        <f>B67*_xlfn.XLOOKUP("Cement",Emission_Factors!$A$2:$A$13,Emission_Factors!$C$2:$C$13)+C67*_xlfn.XLOOKUP("Slag",Emission_Factors!$A$2:$A$13,Emission_Factors!$C$2:$C$13)+D67*_xlfn.XLOOKUP("Silica_Fume",Emission_Factors!$A$2:$A$13,Emission_Factors!$C$2:$C$13)+E67*_xlfn.XLOOKUP("Limestone_Powder",Emission_Factors!$A$2:$A$13,Emission_Factors!$C$2:$C$13)+F67*_xlfn.XLOOKUP("Quartz_Powder",Emission_Factors!$A$2:$A$13,Emission_Factors!$C$2:$C$13)+G67*_xlfn.XLOOKUP("Fly_Ash",Emission_Factors!$A$2:$A$13,Emission_Factors!$C$2:$C$13)+H67*_xlfn.XLOOKUP("Nano_Silica",Emission_Factors!$A$2:$A$13,Emission_Factors!$C$2:$C$13)+I67*_xlfn.XLOOKUP("Aggregate",Emission_Factors!$A$2:$A$13,Emission_Factors!$C$2:$C$13)+J67*_xlfn.XLOOKUP("Water",Emission_Factors!$A$2:$A$13,Emission_Factors!$C$2:$C$13)+K67*_xlfn.XLOOKUP("Fiber_Virgin",Emission_Factors!$A$2:$A$13,Emission_Factors!$C$2:$C$13)+L67*_xlfn.XLOOKUP("Superplasticizer",Emission_Factors!$A$2:$A$13,Emission_Factors!$C$2:$C$13)</f>
        <v>875.94935279999993</v>
      </c>
      <c r="S67" s="4">
        <f>B67*_xlfn.XLOOKUP("Cement",Emission_Factors!$A$2:$A$13,Emission_Factors!$C$2:$C$13)+C67*_xlfn.XLOOKUP("Slag",Emission_Factors!$A$2:$A$13,Emission_Factors!$C$2:$C$13)+D67*_xlfn.XLOOKUP("Silica_Fume",Emission_Factors!$A$2:$A$13,Emission_Factors!$C$2:$C$13)+E67*_xlfn.XLOOKUP("Limestone_Powder",Emission_Factors!$A$2:$A$13,Emission_Factors!$C$2:$C$13)+F67*_xlfn.XLOOKUP("Quartz_Powder",Emission_Factors!$A$2:$A$13,Emission_Factors!$C$2:$C$13)+G67*_xlfn.XLOOKUP("Fly_Ash",Emission_Factors!$A$2:$A$13,Emission_Factors!$C$2:$C$13)+H67*_xlfn.XLOOKUP("Nano_Silica",Emission_Factors!$A$2:$A$13,Emission_Factors!$C$2:$C$13)+I67*_xlfn.XLOOKUP("Aggregate",Emission_Factors!$A$2:$A$13,Emission_Factors!$C$2:$C$13)+J67*_xlfn.XLOOKUP("Water",Emission_Factors!$A$2:$A$13,Emission_Factors!$C$2:$C$13)+K67*_xlfn.XLOOKUP("Fiber_Recycled",Emission_Factors!$A$2:$A$13,Emission_Factors!$C$2:$C$13)+L67*_xlfn.XLOOKUP("Superplasticizer",Emission_Factors!$A$2:$A$13,Emission_Factors!$C$2:$C$13)</f>
        <v>875.94935279999993</v>
      </c>
    </row>
    <row r="68" spans="1:19" x14ac:dyDescent="0.25">
      <c r="A68">
        <v>326</v>
      </c>
      <c r="B68">
        <v>792</v>
      </c>
      <c r="C68">
        <v>0</v>
      </c>
      <c r="D68">
        <v>0</v>
      </c>
      <c r="E68">
        <v>0</v>
      </c>
      <c r="F68">
        <v>0</v>
      </c>
      <c r="G68">
        <v>0</v>
      </c>
      <c r="H68">
        <v>8</v>
      </c>
      <c r="I68">
        <v>1450.8</v>
      </c>
      <c r="J68">
        <v>160</v>
      </c>
      <c r="K68">
        <v>0</v>
      </c>
      <c r="L68">
        <v>28.8</v>
      </c>
      <c r="M68">
        <v>23</v>
      </c>
      <c r="N68">
        <v>14</v>
      </c>
      <c r="O68">
        <v>114.3</v>
      </c>
      <c r="P68">
        <v>119.58096999999999</v>
      </c>
      <c r="Q68">
        <v>-5.2809707640000001</v>
      </c>
      <c r="R68" s="4">
        <f>B68*_xlfn.XLOOKUP("Cement",Emission_Factors!$A$2:$A$13,Emission_Factors!$C$2:$C$13)+C68*_xlfn.XLOOKUP("Slag",Emission_Factors!$A$2:$A$13,Emission_Factors!$C$2:$C$13)+D68*_xlfn.XLOOKUP("Silica_Fume",Emission_Factors!$A$2:$A$13,Emission_Factors!$C$2:$C$13)+E68*_xlfn.XLOOKUP("Limestone_Powder",Emission_Factors!$A$2:$A$13,Emission_Factors!$C$2:$C$13)+F68*_xlfn.XLOOKUP("Quartz_Powder",Emission_Factors!$A$2:$A$13,Emission_Factors!$C$2:$C$13)+G68*_xlfn.XLOOKUP("Fly_Ash",Emission_Factors!$A$2:$A$13,Emission_Factors!$C$2:$C$13)+H68*_xlfn.XLOOKUP("Nano_Silica",Emission_Factors!$A$2:$A$13,Emission_Factors!$C$2:$C$13)+I68*_xlfn.XLOOKUP("Aggregate",Emission_Factors!$A$2:$A$13,Emission_Factors!$C$2:$C$13)+J68*_xlfn.XLOOKUP("Water",Emission_Factors!$A$2:$A$13,Emission_Factors!$C$2:$C$13)+K68*_xlfn.XLOOKUP("Fiber_Virgin",Emission_Factors!$A$2:$A$13,Emission_Factors!$C$2:$C$13)+L68*_xlfn.XLOOKUP("Superplasticizer",Emission_Factors!$A$2:$A$13,Emission_Factors!$C$2:$C$13)</f>
        <v>703.83255999999994</v>
      </c>
      <c r="S68" s="4">
        <f>B68*_xlfn.XLOOKUP("Cement",Emission_Factors!$A$2:$A$13,Emission_Factors!$C$2:$C$13)+C68*_xlfn.XLOOKUP("Slag",Emission_Factors!$A$2:$A$13,Emission_Factors!$C$2:$C$13)+D68*_xlfn.XLOOKUP("Silica_Fume",Emission_Factors!$A$2:$A$13,Emission_Factors!$C$2:$C$13)+E68*_xlfn.XLOOKUP("Limestone_Powder",Emission_Factors!$A$2:$A$13,Emission_Factors!$C$2:$C$13)+F68*_xlfn.XLOOKUP("Quartz_Powder",Emission_Factors!$A$2:$A$13,Emission_Factors!$C$2:$C$13)+G68*_xlfn.XLOOKUP("Fly_Ash",Emission_Factors!$A$2:$A$13,Emission_Factors!$C$2:$C$13)+H68*_xlfn.XLOOKUP("Nano_Silica",Emission_Factors!$A$2:$A$13,Emission_Factors!$C$2:$C$13)+I68*_xlfn.XLOOKUP("Aggregate",Emission_Factors!$A$2:$A$13,Emission_Factors!$C$2:$C$13)+J68*_xlfn.XLOOKUP("Water",Emission_Factors!$A$2:$A$13,Emission_Factors!$C$2:$C$13)+K68*_xlfn.XLOOKUP("Fiber_Recycled",Emission_Factors!$A$2:$A$13,Emission_Factors!$C$2:$C$13)+L68*_xlfn.XLOOKUP("Superplasticizer",Emission_Factors!$A$2:$A$13,Emission_Factors!$C$2:$C$13)</f>
        <v>703.83255999999994</v>
      </c>
    </row>
    <row r="69" spans="1:19" x14ac:dyDescent="0.25">
      <c r="A69">
        <v>327</v>
      </c>
      <c r="B69">
        <v>594.20000000000005</v>
      </c>
      <c r="C69">
        <v>0</v>
      </c>
      <c r="D69">
        <v>0</v>
      </c>
      <c r="E69">
        <v>265.3</v>
      </c>
      <c r="F69">
        <v>0</v>
      </c>
      <c r="G69">
        <v>0</v>
      </c>
      <c r="H69">
        <v>24.8</v>
      </c>
      <c r="I69">
        <v>1282.3</v>
      </c>
      <c r="J69">
        <v>176.9</v>
      </c>
      <c r="K69">
        <v>156</v>
      </c>
      <c r="L69">
        <v>44.2</v>
      </c>
      <c r="M69">
        <v>21</v>
      </c>
      <c r="N69">
        <v>7</v>
      </c>
      <c r="O69">
        <v>114.44</v>
      </c>
      <c r="P69">
        <v>114.79608</v>
      </c>
      <c r="Q69">
        <v>-0.356081543</v>
      </c>
      <c r="R69" s="4">
        <f>B69*_xlfn.XLOOKUP("Cement",Emission_Factors!$A$2:$A$13,Emission_Factors!$C$2:$C$13)+C69*_xlfn.XLOOKUP("Slag",Emission_Factors!$A$2:$A$13,Emission_Factors!$C$2:$C$13)+D69*_xlfn.XLOOKUP("Silica_Fume",Emission_Factors!$A$2:$A$13,Emission_Factors!$C$2:$C$13)+E69*_xlfn.XLOOKUP("Limestone_Powder",Emission_Factors!$A$2:$A$13,Emission_Factors!$C$2:$C$13)+F69*_xlfn.XLOOKUP("Quartz_Powder",Emission_Factors!$A$2:$A$13,Emission_Factors!$C$2:$C$13)+G69*_xlfn.XLOOKUP("Fly_Ash",Emission_Factors!$A$2:$A$13,Emission_Factors!$C$2:$C$13)+H69*_xlfn.XLOOKUP("Nano_Silica",Emission_Factors!$A$2:$A$13,Emission_Factors!$C$2:$C$13)+I69*_xlfn.XLOOKUP("Aggregate",Emission_Factors!$A$2:$A$13,Emission_Factors!$C$2:$C$13)+J69*_xlfn.XLOOKUP("Water",Emission_Factors!$A$2:$A$13,Emission_Factors!$C$2:$C$13)+K69*_xlfn.XLOOKUP("Fiber_Virgin",Emission_Factors!$A$2:$A$13,Emission_Factors!$C$2:$C$13)+L69*_xlfn.XLOOKUP("Superplasticizer",Emission_Factors!$A$2:$A$13,Emission_Factors!$C$2:$C$13)</f>
        <v>973.06707240000003</v>
      </c>
      <c r="S69" s="4">
        <f>B69*_xlfn.XLOOKUP("Cement",Emission_Factors!$A$2:$A$13,Emission_Factors!$C$2:$C$13)+C69*_xlfn.XLOOKUP("Slag",Emission_Factors!$A$2:$A$13,Emission_Factors!$C$2:$C$13)+D69*_xlfn.XLOOKUP("Silica_Fume",Emission_Factors!$A$2:$A$13,Emission_Factors!$C$2:$C$13)+E69*_xlfn.XLOOKUP("Limestone_Powder",Emission_Factors!$A$2:$A$13,Emission_Factors!$C$2:$C$13)+F69*_xlfn.XLOOKUP("Quartz_Powder",Emission_Factors!$A$2:$A$13,Emission_Factors!$C$2:$C$13)+G69*_xlfn.XLOOKUP("Fly_Ash",Emission_Factors!$A$2:$A$13,Emission_Factors!$C$2:$C$13)+H69*_xlfn.XLOOKUP("Nano_Silica",Emission_Factors!$A$2:$A$13,Emission_Factors!$C$2:$C$13)+I69*_xlfn.XLOOKUP("Aggregate",Emission_Factors!$A$2:$A$13,Emission_Factors!$C$2:$C$13)+J69*_xlfn.XLOOKUP("Water",Emission_Factors!$A$2:$A$13,Emission_Factors!$C$2:$C$13)+K69*_xlfn.XLOOKUP("Fiber_Recycled",Emission_Factors!$A$2:$A$13,Emission_Factors!$C$2:$C$13)+L69*_xlfn.XLOOKUP("Superplasticizer",Emission_Factors!$A$2:$A$13,Emission_Factors!$C$2:$C$13)</f>
        <v>723.46707240000001</v>
      </c>
    </row>
    <row r="70" spans="1:19" x14ac:dyDescent="0.25">
      <c r="A70">
        <v>330</v>
      </c>
      <c r="B70">
        <v>623</v>
      </c>
      <c r="C70">
        <v>0</v>
      </c>
      <c r="D70">
        <v>0</v>
      </c>
      <c r="E70">
        <v>0</v>
      </c>
      <c r="F70">
        <v>0</v>
      </c>
      <c r="G70">
        <v>267</v>
      </c>
      <c r="H70">
        <v>0</v>
      </c>
      <c r="I70">
        <v>1231</v>
      </c>
      <c r="J70">
        <v>178</v>
      </c>
      <c r="K70">
        <v>0</v>
      </c>
      <c r="L70">
        <v>30.2</v>
      </c>
      <c r="M70">
        <v>21</v>
      </c>
      <c r="N70">
        <v>28</v>
      </c>
      <c r="O70">
        <v>114.8</v>
      </c>
      <c r="P70">
        <v>115.16759500000001</v>
      </c>
      <c r="Q70">
        <v>-0.36759491</v>
      </c>
      <c r="R70" s="4">
        <f>B70*_xlfn.XLOOKUP("Cement",Emission_Factors!$A$2:$A$13,Emission_Factors!$C$2:$C$13)+C70*_xlfn.XLOOKUP("Slag",Emission_Factors!$A$2:$A$13,Emission_Factors!$C$2:$C$13)+D70*_xlfn.XLOOKUP("Silica_Fume",Emission_Factors!$A$2:$A$13,Emission_Factors!$C$2:$C$13)+E70*_xlfn.XLOOKUP("Limestone_Powder",Emission_Factors!$A$2:$A$13,Emission_Factors!$C$2:$C$13)+F70*_xlfn.XLOOKUP("Quartz_Powder",Emission_Factors!$A$2:$A$13,Emission_Factors!$C$2:$C$13)+G70*_xlfn.XLOOKUP("Fly_Ash",Emission_Factors!$A$2:$A$13,Emission_Factors!$C$2:$C$13)+H70*_xlfn.XLOOKUP("Nano_Silica",Emission_Factors!$A$2:$A$13,Emission_Factors!$C$2:$C$13)+I70*_xlfn.XLOOKUP("Aggregate",Emission_Factors!$A$2:$A$13,Emission_Factors!$C$2:$C$13)+J70*_xlfn.XLOOKUP("Water",Emission_Factors!$A$2:$A$13,Emission_Factors!$C$2:$C$13)+K70*_xlfn.XLOOKUP("Fiber_Virgin",Emission_Factors!$A$2:$A$13,Emission_Factors!$C$2:$C$13)+L70*_xlfn.XLOOKUP("Superplasticizer",Emission_Factors!$A$2:$A$13,Emission_Factors!$C$2:$C$13)</f>
        <v>554.191688</v>
      </c>
      <c r="S70" s="4">
        <f>B70*_xlfn.XLOOKUP("Cement",Emission_Factors!$A$2:$A$13,Emission_Factors!$C$2:$C$13)+C70*_xlfn.XLOOKUP("Slag",Emission_Factors!$A$2:$A$13,Emission_Factors!$C$2:$C$13)+D70*_xlfn.XLOOKUP("Silica_Fume",Emission_Factors!$A$2:$A$13,Emission_Factors!$C$2:$C$13)+E70*_xlfn.XLOOKUP("Limestone_Powder",Emission_Factors!$A$2:$A$13,Emission_Factors!$C$2:$C$13)+F70*_xlfn.XLOOKUP("Quartz_Powder",Emission_Factors!$A$2:$A$13,Emission_Factors!$C$2:$C$13)+G70*_xlfn.XLOOKUP("Fly_Ash",Emission_Factors!$A$2:$A$13,Emission_Factors!$C$2:$C$13)+H70*_xlfn.XLOOKUP("Nano_Silica",Emission_Factors!$A$2:$A$13,Emission_Factors!$C$2:$C$13)+I70*_xlfn.XLOOKUP("Aggregate",Emission_Factors!$A$2:$A$13,Emission_Factors!$C$2:$C$13)+J70*_xlfn.XLOOKUP("Water",Emission_Factors!$A$2:$A$13,Emission_Factors!$C$2:$C$13)+K70*_xlfn.XLOOKUP("Fiber_Recycled",Emission_Factors!$A$2:$A$13,Emission_Factors!$C$2:$C$13)+L70*_xlfn.XLOOKUP("Superplasticizer",Emission_Factors!$A$2:$A$13,Emission_Factors!$C$2:$C$13)</f>
        <v>554.191688</v>
      </c>
    </row>
    <row r="71" spans="1:19" x14ac:dyDescent="0.25">
      <c r="A71">
        <v>337</v>
      </c>
      <c r="B71">
        <v>874.9</v>
      </c>
      <c r="C71">
        <v>0</v>
      </c>
      <c r="D71">
        <v>43.7</v>
      </c>
      <c r="E71">
        <v>0</v>
      </c>
      <c r="F71">
        <v>0</v>
      </c>
      <c r="G71">
        <v>0</v>
      </c>
      <c r="H71">
        <v>0</v>
      </c>
      <c r="I71">
        <v>1273.4000000000001</v>
      </c>
      <c r="J71">
        <v>202.1</v>
      </c>
      <c r="K71">
        <v>39</v>
      </c>
      <c r="L71">
        <v>45.9</v>
      </c>
      <c r="M71">
        <v>21</v>
      </c>
      <c r="N71">
        <v>28</v>
      </c>
      <c r="O71">
        <v>115.44</v>
      </c>
      <c r="P71">
        <v>114.284615</v>
      </c>
      <c r="Q71">
        <v>1.1553854370000001</v>
      </c>
      <c r="R71" s="4">
        <f>B71*_xlfn.XLOOKUP("Cement",Emission_Factors!$A$2:$A$13,Emission_Factors!$C$2:$C$13)+C71*_xlfn.XLOOKUP("Slag",Emission_Factors!$A$2:$A$13,Emission_Factors!$C$2:$C$13)+D71*_xlfn.XLOOKUP("Silica_Fume",Emission_Factors!$A$2:$A$13,Emission_Factors!$C$2:$C$13)+E71*_xlfn.XLOOKUP("Limestone_Powder",Emission_Factors!$A$2:$A$13,Emission_Factors!$C$2:$C$13)+F71*_xlfn.XLOOKUP("Quartz_Powder",Emission_Factors!$A$2:$A$13,Emission_Factors!$C$2:$C$13)+G71*_xlfn.XLOOKUP("Fly_Ash",Emission_Factors!$A$2:$A$13,Emission_Factors!$C$2:$C$13)+H71*_xlfn.XLOOKUP("Nano_Silica",Emission_Factors!$A$2:$A$13,Emission_Factors!$C$2:$C$13)+I71*_xlfn.XLOOKUP("Aggregate",Emission_Factors!$A$2:$A$13,Emission_Factors!$C$2:$C$13)+J71*_xlfn.XLOOKUP("Water",Emission_Factors!$A$2:$A$13,Emission_Factors!$C$2:$C$13)+K71*_xlfn.XLOOKUP("Fiber_Virgin",Emission_Factors!$A$2:$A$13,Emission_Factors!$C$2:$C$13)+L71*_xlfn.XLOOKUP("Superplasticizer",Emission_Factors!$A$2:$A$13,Emission_Factors!$C$2:$C$13)</f>
        <v>874.01501159999987</v>
      </c>
      <c r="S71" s="4">
        <f>B71*_xlfn.XLOOKUP("Cement",Emission_Factors!$A$2:$A$13,Emission_Factors!$C$2:$C$13)+C71*_xlfn.XLOOKUP("Slag",Emission_Factors!$A$2:$A$13,Emission_Factors!$C$2:$C$13)+D71*_xlfn.XLOOKUP("Silica_Fume",Emission_Factors!$A$2:$A$13,Emission_Factors!$C$2:$C$13)+E71*_xlfn.XLOOKUP("Limestone_Powder",Emission_Factors!$A$2:$A$13,Emission_Factors!$C$2:$C$13)+F71*_xlfn.XLOOKUP("Quartz_Powder",Emission_Factors!$A$2:$A$13,Emission_Factors!$C$2:$C$13)+G71*_xlfn.XLOOKUP("Fly_Ash",Emission_Factors!$A$2:$A$13,Emission_Factors!$C$2:$C$13)+H71*_xlfn.XLOOKUP("Nano_Silica",Emission_Factors!$A$2:$A$13,Emission_Factors!$C$2:$C$13)+I71*_xlfn.XLOOKUP("Aggregate",Emission_Factors!$A$2:$A$13,Emission_Factors!$C$2:$C$13)+J71*_xlfn.XLOOKUP("Water",Emission_Factors!$A$2:$A$13,Emission_Factors!$C$2:$C$13)+K71*_xlfn.XLOOKUP("Fiber_Recycled",Emission_Factors!$A$2:$A$13,Emission_Factors!$C$2:$C$13)+L71*_xlfn.XLOOKUP("Superplasticizer",Emission_Factors!$A$2:$A$13,Emission_Factors!$C$2:$C$13)</f>
        <v>811.61501159999989</v>
      </c>
    </row>
    <row r="72" spans="1:19" x14ac:dyDescent="0.25">
      <c r="A72">
        <v>339</v>
      </c>
      <c r="B72">
        <v>784</v>
      </c>
      <c r="C72">
        <v>0</v>
      </c>
      <c r="D72">
        <v>0</v>
      </c>
      <c r="E72">
        <v>0</v>
      </c>
      <c r="F72">
        <v>0</v>
      </c>
      <c r="G72">
        <v>0</v>
      </c>
      <c r="H72">
        <v>16</v>
      </c>
      <c r="I72">
        <v>1430.2</v>
      </c>
      <c r="J72">
        <v>160</v>
      </c>
      <c r="K72">
        <v>0</v>
      </c>
      <c r="L72">
        <v>36</v>
      </c>
      <c r="M72">
        <v>23</v>
      </c>
      <c r="N72">
        <v>14</v>
      </c>
      <c r="O72">
        <v>115.6</v>
      </c>
      <c r="P72">
        <v>119.04329</v>
      </c>
      <c r="Q72">
        <v>-3.4432891849999998</v>
      </c>
      <c r="R72" s="4">
        <f>B72*_xlfn.XLOOKUP("Cement",Emission_Factors!$A$2:$A$13,Emission_Factors!$C$2:$C$13)+C72*_xlfn.XLOOKUP("Slag",Emission_Factors!$A$2:$A$13,Emission_Factors!$C$2:$C$13)+D72*_xlfn.XLOOKUP("Silica_Fume",Emission_Factors!$A$2:$A$13,Emission_Factors!$C$2:$C$13)+E72*_xlfn.XLOOKUP("Limestone_Powder",Emission_Factors!$A$2:$A$13,Emission_Factors!$C$2:$C$13)+F72*_xlfn.XLOOKUP("Quartz_Powder",Emission_Factors!$A$2:$A$13,Emission_Factors!$C$2:$C$13)+G72*_xlfn.XLOOKUP("Fly_Ash",Emission_Factors!$A$2:$A$13,Emission_Factors!$C$2:$C$13)+H72*_xlfn.XLOOKUP("Nano_Silica",Emission_Factors!$A$2:$A$13,Emission_Factors!$C$2:$C$13)+I72*_xlfn.XLOOKUP("Aggregate",Emission_Factors!$A$2:$A$13,Emission_Factors!$C$2:$C$13)+J72*_xlfn.XLOOKUP("Water",Emission_Factors!$A$2:$A$13,Emission_Factors!$C$2:$C$13)+K72*_xlfn.XLOOKUP("Fiber_Virgin",Emission_Factors!$A$2:$A$13,Emission_Factors!$C$2:$C$13)+L72*_xlfn.XLOOKUP("Superplasticizer",Emission_Factors!$A$2:$A$13,Emission_Factors!$C$2:$C$13)</f>
        <v>715.88635999999985</v>
      </c>
      <c r="S72" s="4">
        <f>B72*_xlfn.XLOOKUP("Cement",Emission_Factors!$A$2:$A$13,Emission_Factors!$C$2:$C$13)+C72*_xlfn.XLOOKUP("Slag",Emission_Factors!$A$2:$A$13,Emission_Factors!$C$2:$C$13)+D72*_xlfn.XLOOKUP("Silica_Fume",Emission_Factors!$A$2:$A$13,Emission_Factors!$C$2:$C$13)+E72*_xlfn.XLOOKUP("Limestone_Powder",Emission_Factors!$A$2:$A$13,Emission_Factors!$C$2:$C$13)+F72*_xlfn.XLOOKUP("Quartz_Powder",Emission_Factors!$A$2:$A$13,Emission_Factors!$C$2:$C$13)+G72*_xlfn.XLOOKUP("Fly_Ash",Emission_Factors!$A$2:$A$13,Emission_Factors!$C$2:$C$13)+H72*_xlfn.XLOOKUP("Nano_Silica",Emission_Factors!$A$2:$A$13,Emission_Factors!$C$2:$C$13)+I72*_xlfn.XLOOKUP("Aggregate",Emission_Factors!$A$2:$A$13,Emission_Factors!$C$2:$C$13)+J72*_xlfn.XLOOKUP("Water",Emission_Factors!$A$2:$A$13,Emission_Factors!$C$2:$C$13)+K72*_xlfn.XLOOKUP("Fiber_Recycled",Emission_Factors!$A$2:$A$13,Emission_Factors!$C$2:$C$13)+L72*_xlfn.XLOOKUP("Superplasticizer",Emission_Factors!$A$2:$A$13,Emission_Factors!$C$2:$C$13)</f>
        <v>715.88635999999985</v>
      </c>
    </row>
    <row r="73" spans="1:19" x14ac:dyDescent="0.25">
      <c r="A73">
        <v>343</v>
      </c>
      <c r="B73">
        <v>375</v>
      </c>
      <c r="C73">
        <v>375</v>
      </c>
      <c r="D73">
        <v>144</v>
      </c>
      <c r="E73">
        <v>0</v>
      </c>
      <c r="F73">
        <v>0</v>
      </c>
      <c r="G73">
        <v>200</v>
      </c>
      <c r="H73">
        <v>0</v>
      </c>
      <c r="I73">
        <v>990</v>
      </c>
      <c r="J73">
        <v>182</v>
      </c>
      <c r="K73">
        <v>0</v>
      </c>
      <c r="L73">
        <v>30</v>
      </c>
      <c r="M73">
        <v>20</v>
      </c>
      <c r="N73">
        <v>28</v>
      </c>
      <c r="O73">
        <v>116</v>
      </c>
      <c r="P73">
        <v>117.644615</v>
      </c>
      <c r="Q73">
        <v>-1.644615173</v>
      </c>
      <c r="R73" s="4">
        <f>B73*_xlfn.XLOOKUP("Cement",Emission_Factors!$A$2:$A$13,Emission_Factors!$C$2:$C$13)+C73*_xlfn.XLOOKUP("Slag",Emission_Factors!$A$2:$A$13,Emission_Factors!$C$2:$C$13)+D73*_xlfn.XLOOKUP("Silica_Fume",Emission_Factors!$A$2:$A$13,Emission_Factors!$C$2:$C$13)+E73*_xlfn.XLOOKUP("Limestone_Powder",Emission_Factors!$A$2:$A$13,Emission_Factors!$C$2:$C$13)+F73*_xlfn.XLOOKUP("Quartz_Powder",Emission_Factors!$A$2:$A$13,Emission_Factors!$C$2:$C$13)+G73*_xlfn.XLOOKUP("Fly_Ash",Emission_Factors!$A$2:$A$13,Emission_Factors!$C$2:$C$13)+H73*_xlfn.XLOOKUP("Nano_Silica",Emission_Factors!$A$2:$A$13,Emission_Factors!$C$2:$C$13)+I73*_xlfn.XLOOKUP("Aggregate",Emission_Factors!$A$2:$A$13,Emission_Factors!$C$2:$C$13)+J73*_xlfn.XLOOKUP("Water",Emission_Factors!$A$2:$A$13,Emission_Factors!$C$2:$C$13)+K73*_xlfn.XLOOKUP("Fiber_Virgin",Emission_Factors!$A$2:$A$13,Emission_Factors!$C$2:$C$13)+L73*_xlfn.XLOOKUP("Superplasticizer",Emission_Factors!$A$2:$A$13,Emission_Factors!$C$2:$C$13)</f>
        <v>367.87167199999999</v>
      </c>
      <c r="S73" s="4">
        <f>B73*_xlfn.XLOOKUP("Cement",Emission_Factors!$A$2:$A$13,Emission_Factors!$C$2:$C$13)+C73*_xlfn.XLOOKUP("Slag",Emission_Factors!$A$2:$A$13,Emission_Factors!$C$2:$C$13)+D73*_xlfn.XLOOKUP("Silica_Fume",Emission_Factors!$A$2:$A$13,Emission_Factors!$C$2:$C$13)+E73*_xlfn.XLOOKUP("Limestone_Powder",Emission_Factors!$A$2:$A$13,Emission_Factors!$C$2:$C$13)+F73*_xlfn.XLOOKUP("Quartz_Powder",Emission_Factors!$A$2:$A$13,Emission_Factors!$C$2:$C$13)+G73*_xlfn.XLOOKUP("Fly_Ash",Emission_Factors!$A$2:$A$13,Emission_Factors!$C$2:$C$13)+H73*_xlfn.XLOOKUP("Nano_Silica",Emission_Factors!$A$2:$A$13,Emission_Factors!$C$2:$C$13)+I73*_xlfn.XLOOKUP("Aggregate",Emission_Factors!$A$2:$A$13,Emission_Factors!$C$2:$C$13)+J73*_xlfn.XLOOKUP("Water",Emission_Factors!$A$2:$A$13,Emission_Factors!$C$2:$C$13)+K73*_xlfn.XLOOKUP("Fiber_Recycled",Emission_Factors!$A$2:$A$13,Emission_Factors!$C$2:$C$13)+L73*_xlfn.XLOOKUP("Superplasticizer",Emission_Factors!$A$2:$A$13,Emission_Factors!$C$2:$C$13)</f>
        <v>367.87167199999999</v>
      </c>
    </row>
    <row r="74" spans="1:19" x14ac:dyDescent="0.25">
      <c r="A74">
        <v>344</v>
      </c>
      <c r="B74">
        <v>933</v>
      </c>
      <c r="C74">
        <v>0</v>
      </c>
      <c r="D74">
        <v>233</v>
      </c>
      <c r="E74">
        <v>0</v>
      </c>
      <c r="F74">
        <v>0</v>
      </c>
      <c r="G74">
        <v>0</v>
      </c>
      <c r="H74">
        <v>0</v>
      </c>
      <c r="I74">
        <v>1026</v>
      </c>
      <c r="J74">
        <v>168</v>
      </c>
      <c r="K74">
        <v>0</v>
      </c>
      <c r="L74">
        <v>37.6</v>
      </c>
      <c r="M74">
        <v>23</v>
      </c>
      <c r="N74">
        <v>28</v>
      </c>
      <c r="O74">
        <v>116.2</v>
      </c>
      <c r="P74">
        <v>103.748375</v>
      </c>
      <c r="Q74">
        <v>12.45162506</v>
      </c>
      <c r="R74" s="4">
        <f>B74*_xlfn.XLOOKUP("Cement",Emission_Factors!$A$2:$A$13,Emission_Factors!$C$2:$C$13)+C74*_xlfn.XLOOKUP("Slag",Emission_Factors!$A$2:$A$13,Emission_Factors!$C$2:$C$13)+D74*_xlfn.XLOOKUP("Silica_Fume",Emission_Factors!$A$2:$A$13,Emission_Factors!$C$2:$C$13)+E74*_xlfn.XLOOKUP("Limestone_Powder",Emission_Factors!$A$2:$A$13,Emission_Factors!$C$2:$C$13)+F74*_xlfn.XLOOKUP("Quartz_Powder",Emission_Factors!$A$2:$A$13,Emission_Factors!$C$2:$C$13)+G74*_xlfn.XLOOKUP("Fly_Ash",Emission_Factors!$A$2:$A$13,Emission_Factors!$C$2:$C$13)+H74*_xlfn.XLOOKUP("Nano_Silica",Emission_Factors!$A$2:$A$13,Emission_Factors!$C$2:$C$13)+I74*_xlfn.XLOOKUP("Aggregate",Emission_Factors!$A$2:$A$13,Emission_Factors!$C$2:$C$13)+J74*_xlfn.XLOOKUP("Water",Emission_Factors!$A$2:$A$13,Emission_Factors!$C$2:$C$13)+K74*_xlfn.XLOOKUP("Fiber_Virgin",Emission_Factors!$A$2:$A$13,Emission_Factors!$C$2:$C$13)+L74*_xlfn.XLOOKUP("Superplasticizer",Emission_Factors!$A$2:$A$13,Emission_Factors!$C$2:$C$13)</f>
        <v>818.30932799999994</v>
      </c>
      <c r="S74" s="4">
        <f>B74*_xlfn.XLOOKUP("Cement",Emission_Factors!$A$2:$A$13,Emission_Factors!$C$2:$C$13)+C74*_xlfn.XLOOKUP("Slag",Emission_Factors!$A$2:$A$13,Emission_Factors!$C$2:$C$13)+D74*_xlfn.XLOOKUP("Silica_Fume",Emission_Factors!$A$2:$A$13,Emission_Factors!$C$2:$C$13)+E74*_xlfn.XLOOKUP("Limestone_Powder",Emission_Factors!$A$2:$A$13,Emission_Factors!$C$2:$C$13)+F74*_xlfn.XLOOKUP("Quartz_Powder",Emission_Factors!$A$2:$A$13,Emission_Factors!$C$2:$C$13)+G74*_xlfn.XLOOKUP("Fly_Ash",Emission_Factors!$A$2:$A$13,Emission_Factors!$C$2:$C$13)+H74*_xlfn.XLOOKUP("Nano_Silica",Emission_Factors!$A$2:$A$13,Emission_Factors!$C$2:$C$13)+I74*_xlfn.XLOOKUP("Aggregate",Emission_Factors!$A$2:$A$13,Emission_Factors!$C$2:$C$13)+J74*_xlfn.XLOOKUP("Water",Emission_Factors!$A$2:$A$13,Emission_Factors!$C$2:$C$13)+K74*_xlfn.XLOOKUP("Fiber_Recycled",Emission_Factors!$A$2:$A$13,Emission_Factors!$C$2:$C$13)+L74*_xlfn.XLOOKUP("Superplasticizer",Emission_Factors!$A$2:$A$13,Emission_Factors!$C$2:$C$13)</f>
        <v>818.30932799999994</v>
      </c>
    </row>
    <row r="75" spans="1:19" x14ac:dyDescent="0.25">
      <c r="A75">
        <v>345</v>
      </c>
      <c r="B75">
        <v>720</v>
      </c>
      <c r="C75">
        <v>0</v>
      </c>
      <c r="D75">
        <v>80</v>
      </c>
      <c r="E75">
        <v>0</v>
      </c>
      <c r="F75">
        <v>0</v>
      </c>
      <c r="G75">
        <v>0</v>
      </c>
      <c r="H75">
        <v>0</v>
      </c>
      <c r="I75">
        <v>1422.9</v>
      </c>
      <c r="J75">
        <v>160</v>
      </c>
      <c r="K75">
        <v>0</v>
      </c>
      <c r="L75">
        <v>29.6</v>
      </c>
      <c r="M75">
        <v>23</v>
      </c>
      <c r="N75">
        <v>14</v>
      </c>
      <c r="O75">
        <v>116.2</v>
      </c>
      <c r="P75">
        <v>119.26161999999999</v>
      </c>
      <c r="Q75">
        <v>-3.0616195679999998</v>
      </c>
      <c r="R75" s="4">
        <f>B75*_xlfn.XLOOKUP("Cement",Emission_Factors!$A$2:$A$13,Emission_Factors!$C$2:$C$13)+C75*_xlfn.XLOOKUP("Slag",Emission_Factors!$A$2:$A$13,Emission_Factors!$C$2:$C$13)+D75*_xlfn.XLOOKUP("Silica_Fume",Emission_Factors!$A$2:$A$13,Emission_Factors!$C$2:$C$13)+E75*_xlfn.XLOOKUP("Limestone_Powder",Emission_Factors!$A$2:$A$13,Emission_Factors!$C$2:$C$13)+F75*_xlfn.XLOOKUP("Quartz_Powder",Emission_Factors!$A$2:$A$13,Emission_Factors!$C$2:$C$13)+G75*_xlfn.XLOOKUP("Fly_Ash",Emission_Factors!$A$2:$A$13,Emission_Factors!$C$2:$C$13)+H75*_xlfn.XLOOKUP("Nano_Silica",Emission_Factors!$A$2:$A$13,Emission_Factors!$C$2:$C$13)+I75*_xlfn.XLOOKUP("Aggregate",Emission_Factors!$A$2:$A$13,Emission_Factors!$C$2:$C$13)+J75*_xlfn.XLOOKUP("Water",Emission_Factors!$A$2:$A$13,Emission_Factors!$C$2:$C$13)+K75*_xlfn.XLOOKUP("Fiber_Virgin",Emission_Factors!$A$2:$A$13,Emission_Factors!$C$2:$C$13)+L75*_xlfn.XLOOKUP("Superplasticizer",Emission_Factors!$A$2:$A$13,Emission_Factors!$C$2:$C$13)</f>
        <v>633.80826000000002</v>
      </c>
      <c r="S75" s="4">
        <f>B75*_xlfn.XLOOKUP("Cement",Emission_Factors!$A$2:$A$13,Emission_Factors!$C$2:$C$13)+C75*_xlfn.XLOOKUP("Slag",Emission_Factors!$A$2:$A$13,Emission_Factors!$C$2:$C$13)+D75*_xlfn.XLOOKUP("Silica_Fume",Emission_Factors!$A$2:$A$13,Emission_Factors!$C$2:$C$13)+E75*_xlfn.XLOOKUP("Limestone_Powder",Emission_Factors!$A$2:$A$13,Emission_Factors!$C$2:$C$13)+F75*_xlfn.XLOOKUP("Quartz_Powder",Emission_Factors!$A$2:$A$13,Emission_Factors!$C$2:$C$13)+G75*_xlfn.XLOOKUP("Fly_Ash",Emission_Factors!$A$2:$A$13,Emission_Factors!$C$2:$C$13)+H75*_xlfn.XLOOKUP("Nano_Silica",Emission_Factors!$A$2:$A$13,Emission_Factors!$C$2:$C$13)+I75*_xlfn.XLOOKUP("Aggregate",Emission_Factors!$A$2:$A$13,Emission_Factors!$C$2:$C$13)+J75*_xlfn.XLOOKUP("Water",Emission_Factors!$A$2:$A$13,Emission_Factors!$C$2:$C$13)+K75*_xlfn.XLOOKUP("Fiber_Recycled",Emission_Factors!$A$2:$A$13,Emission_Factors!$C$2:$C$13)+L75*_xlfn.XLOOKUP("Superplasticizer",Emission_Factors!$A$2:$A$13,Emission_Factors!$C$2:$C$13)</f>
        <v>633.80826000000002</v>
      </c>
    </row>
    <row r="76" spans="1:19" x14ac:dyDescent="0.25">
      <c r="A76">
        <v>359</v>
      </c>
      <c r="B76">
        <v>756.5</v>
      </c>
      <c r="C76">
        <v>0</v>
      </c>
      <c r="D76">
        <v>133.5</v>
      </c>
      <c r="E76">
        <v>0</v>
      </c>
      <c r="F76">
        <v>0</v>
      </c>
      <c r="G76">
        <v>0</v>
      </c>
      <c r="H76">
        <v>0</v>
      </c>
      <c r="I76">
        <v>1231</v>
      </c>
      <c r="J76">
        <v>178</v>
      </c>
      <c r="K76">
        <v>0</v>
      </c>
      <c r="L76">
        <v>30.2</v>
      </c>
      <c r="M76">
        <v>21</v>
      </c>
      <c r="N76">
        <v>28</v>
      </c>
      <c r="O76">
        <v>118</v>
      </c>
      <c r="P76">
        <v>120.05426</v>
      </c>
      <c r="Q76">
        <v>-2.0542602539999999</v>
      </c>
      <c r="R76" s="4">
        <f>B76*_xlfn.XLOOKUP("Cement",Emission_Factors!$A$2:$A$13,Emission_Factors!$C$2:$C$13)+C76*_xlfn.XLOOKUP("Slag",Emission_Factors!$A$2:$A$13,Emission_Factors!$C$2:$C$13)+D76*_xlfn.XLOOKUP("Silica_Fume",Emission_Factors!$A$2:$A$13,Emission_Factors!$C$2:$C$13)+E76*_xlfn.XLOOKUP("Limestone_Powder",Emission_Factors!$A$2:$A$13,Emission_Factors!$C$2:$C$13)+F76*_xlfn.XLOOKUP("Quartz_Powder",Emission_Factors!$A$2:$A$13,Emission_Factors!$C$2:$C$13)+G76*_xlfn.XLOOKUP("Fly_Ash",Emission_Factors!$A$2:$A$13,Emission_Factors!$C$2:$C$13)+H76*_xlfn.XLOOKUP("Nano_Silica",Emission_Factors!$A$2:$A$13,Emission_Factors!$C$2:$C$13)+I76*_xlfn.XLOOKUP("Aggregate",Emission_Factors!$A$2:$A$13,Emission_Factors!$C$2:$C$13)+J76*_xlfn.XLOOKUP("Water",Emission_Factors!$A$2:$A$13,Emission_Factors!$C$2:$C$13)+K76*_xlfn.XLOOKUP("Fiber_Virgin",Emission_Factors!$A$2:$A$13,Emission_Factors!$C$2:$C$13)+L76*_xlfn.XLOOKUP("Superplasticizer",Emission_Factors!$A$2:$A$13,Emission_Factors!$C$2:$C$13)</f>
        <v>664.46268799999996</v>
      </c>
      <c r="S76" s="4">
        <f>B76*_xlfn.XLOOKUP("Cement",Emission_Factors!$A$2:$A$13,Emission_Factors!$C$2:$C$13)+C76*_xlfn.XLOOKUP("Slag",Emission_Factors!$A$2:$A$13,Emission_Factors!$C$2:$C$13)+D76*_xlfn.XLOOKUP("Silica_Fume",Emission_Factors!$A$2:$A$13,Emission_Factors!$C$2:$C$13)+E76*_xlfn.XLOOKUP("Limestone_Powder",Emission_Factors!$A$2:$A$13,Emission_Factors!$C$2:$C$13)+F76*_xlfn.XLOOKUP("Quartz_Powder",Emission_Factors!$A$2:$A$13,Emission_Factors!$C$2:$C$13)+G76*_xlfn.XLOOKUP("Fly_Ash",Emission_Factors!$A$2:$A$13,Emission_Factors!$C$2:$C$13)+H76*_xlfn.XLOOKUP("Nano_Silica",Emission_Factors!$A$2:$A$13,Emission_Factors!$C$2:$C$13)+I76*_xlfn.XLOOKUP("Aggregate",Emission_Factors!$A$2:$A$13,Emission_Factors!$C$2:$C$13)+J76*_xlfn.XLOOKUP("Water",Emission_Factors!$A$2:$A$13,Emission_Factors!$C$2:$C$13)+K76*_xlfn.XLOOKUP("Fiber_Recycled",Emission_Factors!$A$2:$A$13,Emission_Factors!$C$2:$C$13)+L76*_xlfn.XLOOKUP("Superplasticizer",Emission_Factors!$A$2:$A$13,Emission_Factors!$C$2:$C$13)</f>
        <v>664.46268799999996</v>
      </c>
    </row>
    <row r="77" spans="1:19" x14ac:dyDescent="0.25">
      <c r="A77">
        <v>366</v>
      </c>
      <c r="B77">
        <v>801</v>
      </c>
      <c r="C77">
        <v>0</v>
      </c>
      <c r="D77">
        <v>89</v>
      </c>
      <c r="E77">
        <v>0</v>
      </c>
      <c r="F77">
        <v>0</v>
      </c>
      <c r="G77">
        <v>0</v>
      </c>
      <c r="H77">
        <v>0</v>
      </c>
      <c r="I77">
        <v>1231</v>
      </c>
      <c r="J77">
        <v>178</v>
      </c>
      <c r="K77">
        <v>0</v>
      </c>
      <c r="L77">
        <v>30.2</v>
      </c>
      <c r="M77">
        <v>21</v>
      </c>
      <c r="N77">
        <v>28</v>
      </c>
      <c r="O77">
        <v>118.6</v>
      </c>
      <c r="P77">
        <v>124.420784</v>
      </c>
      <c r="Q77">
        <v>-5.8207839970000004</v>
      </c>
      <c r="R77" s="4">
        <f>B77*_xlfn.XLOOKUP("Cement",Emission_Factors!$A$2:$A$13,Emission_Factors!$C$2:$C$13)+C77*_xlfn.XLOOKUP("Slag",Emission_Factors!$A$2:$A$13,Emission_Factors!$C$2:$C$13)+D77*_xlfn.XLOOKUP("Silica_Fume",Emission_Factors!$A$2:$A$13,Emission_Factors!$C$2:$C$13)+E77*_xlfn.XLOOKUP("Limestone_Powder",Emission_Factors!$A$2:$A$13,Emission_Factors!$C$2:$C$13)+F77*_xlfn.XLOOKUP("Quartz_Powder",Emission_Factors!$A$2:$A$13,Emission_Factors!$C$2:$C$13)+G77*_xlfn.XLOOKUP("Fly_Ash",Emission_Factors!$A$2:$A$13,Emission_Factors!$C$2:$C$13)+H77*_xlfn.XLOOKUP("Nano_Silica",Emission_Factors!$A$2:$A$13,Emission_Factors!$C$2:$C$13)+I77*_xlfn.XLOOKUP("Aggregate",Emission_Factors!$A$2:$A$13,Emission_Factors!$C$2:$C$13)+J77*_xlfn.XLOOKUP("Water",Emission_Factors!$A$2:$A$13,Emission_Factors!$C$2:$C$13)+K77*_xlfn.XLOOKUP("Fiber_Virgin",Emission_Factors!$A$2:$A$13,Emission_Factors!$C$2:$C$13)+L77*_xlfn.XLOOKUP("Superplasticizer",Emission_Factors!$A$2:$A$13,Emission_Factors!$C$2:$C$13)</f>
        <v>700.77468799999986</v>
      </c>
      <c r="S77" s="4">
        <f>B77*_xlfn.XLOOKUP("Cement",Emission_Factors!$A$2:$A$13,Emission_Factors!$C$2:$C$13)+C77*_xlfn.XLOOKUP("Slag",Emission_Factors!$A$2:$A$13,Emission_Factors!$C$2:$C$13)+D77*_xlfn.XLOOKUP("Silica_Fume",Emission_Factors!$A$2:$A$13,Emission_Factors!$C$2:$C$13)+E77*_xlfn.XLOOKUP("Limestone_Powder",Emission_Factors!$A$2:$A$13,Emission_Factors!$C$2:$C$13)+F77*_xlfn.XLOOKUP("Quartz_Powder",Emission_Factors!$A$2:$A$13,Emission_Factors!$C$2:$C$13)+G77*_xlfn.XLOOKUP("Fly_Ash",Emission_Factors!$A$2:$A$13,Emission_Factors!$C$2:$C$13)+H77*_xlfn.XLOOKUP("Nano_Silica",Emission_Factors!$A$2:$A$13,Emission_Factors!$C$2:$C$13)+I77*_xlfn.XLOOKUP("Aggregate",Emission_Factors!$A$2:$A$13,Emission_Factors!$C$2:$C$13)+J77*_xlfn.XLOOKUP("Water",Emission_Factors!$A$2:$A$13,Emission_Factors!$C$2:$C$13)+K77*_xlfn.XLOOKUP("Fiber_Recycled",Emission_Factors!$A$2:$A$13,Emission_Factors!$C$2:$C$13)+L77*_xlfn.XLOOKUP("Superplasticizer",Emission_Factors!$A$2:$A$13,Emission_Factors!$C$2:$C$13)</f>
        <v>700.77468799999986</v>
      </c>
    </row>
    <row r="78" spans="1:19" x14ac:dyDescent="0.25">
      <c r="A78">
        <v>372</v>
      </c>
      <c r="B78">
        <v>776</v>
      </c>
      <c r="C78">
        <v>0</v>
      </c>
      <c r="D78">
        <v>0</v>
      </c>
      <c r="E78">
        <v>0</v>
      </c>
      <c r="F78">
        <v>0</v>
      </c>
      <c r="G78">
        <v>0</v>
      </c>
      <c r="H78">
        <v>24</v>
      </c>
      <c r="I78">
        <v>1409.7</v>
      </c>
      <c r="J78">
        <v>160</v>
      </c>
      <c r="K78">
        <v>0</v>
      </c>
      <c r="L78">
        <v>43.2</v>
      </c>
      <c r="M78">
        <v>23</v>
      </c>
      <c r="N78">
        <v>28</v>
      </c>
      <c r="O78">
        <v>119.1</v>
      </c>
      <c r="P78">
        <v>115.10717</v>
      </c>
      <c r="Q78">
        <v>3.9928298949999999</v>
      </c>
      <c r="R78" s="4">
        <f>B78*_xlfn.XLOOKUP("Cement",Emission_Factors!$A$2:$A$13,Emission_Factors!$C$2:$C$13)+C78*_xlfn.XLOOKUP("Slag",Emission_Factors!$A$2:$A$13,Emission_Factors!$C$2:$C$13)+D78*_xlfn.XLOOKUP("Silica_Fume",Emission_Factors!$A$2:$A$13,Emission_Factors!$C$2:$C$13)+E78*_xlfn.XLOOKUP("Limestone_Powder",Emission_Factors!$A$2:$A$13,Emission_Factors!$C$2:$C$13)+F78*_xlfn.XLOOKUP("Quartz_Powder",Emission_Factors!$A$2:$A$13,Emission_Factors!$C$2:$C$13)+G78*_xlfn.XLOOKUP("Fly_Ash",Emission_Factors!$A$2:$A$13,Emission_Factors!$C$2:$C$13)+H78*_xlfn.XLOOKUP("Nano_Silica",Emission_Factors!$A$2:$A$13,Emission_Factors!$C$2:$C$13)+I78*_xlfn.XLOOKUP("Aggregate",Emission_Factors!$A$2:$A$13,Emission_Factors!$C$2:$C$13)+J78*_xlfn.XLOOKUP("Water",Emission_Factors!$A$2:$A$13,Emission_Factors!$C$2:$C$13)+K78*_xlfn.XLOOKUP("Fiber_Virgin",Emission_Factors!$A$2:$A$13,Emission_Factors!$C$2:$C$13)+L78*_xlfn.XLOOKUP("Superplasticizer",Emission_Factors!$A$2:$A$13,Emission_Factors!$C$2:$C$13)</f>
        <v>727.94065999999987</v>
      </c>
      <c r="S78" s="4">
        <f>B78*_xlfn.XLOOKUP("Cement",Emission_Factors!$A$2:$A$13,Emission_Factors!$C$2:$C$13)+C78*_xlfn.XLOOKUP("Slag",Emission_Factors!$A$2:$A$13,Emission_Factors!$C$2:$C$13)+D78*_xlfn.XLOOKUP("Silica_Fume",Emission_Factors!$A$2:$A$13,Emission_Factors!$C$2:$C$13)+E78*_xlfn.XLOOKUP("Limestone_Powder",Emission_Factors!$A$2:$A$13,Emission_Factors!$C$2:$C$13)+F78*_xlfn.XLOOKUP("Quartz_Powder",Emission_Factors!$A$2:$A$13,Emission_Factors!$C$2:$C$13)+G78*_xlfn.XLOOKUP("Fly_Ash",Emission_Factors!$A$2:$A$13,Emission_Factors!$C$2:$C$13)+H78*_xlfn.XLOOKUP("Nano_Silica",Emission_Factors!$A$2:$A$13,Emission_Factors!$C$2:$C$13)+I78*_xlfn.XLOOKUP("Aggregate",Emission_Factors!$A$2:$A$13,Emission_Factors!$C$2:$C$13)+J78*_xlfn.XLOOKUP("Water",Emission_Factors!$A$2:$A$13,Emission_Factors!$C$2:$C$13)+K78*_xlfn.XLOOKUP("Fiber_Recycled",Emission_Factors!$A$2:$A$13,Emission_Factors!$C$2:$C$13)+L78*_xlfn.XLOOKUP("Superplasticizer",Emission_Factors!$A$2:$A$13,Emission_Factors!$C$2:$C$13)</f>
        <v>727.94065999999987</v>
      </c>
    </row>
    <row r="79" spans="1:19" x14ac:dyDescent="0.25">
      <c r="A79">
        <v>378</v>
      </c>
      <c r="B79">
        <v>863</v>
      </c>
      <c r="C79">
        <v>0</v>
      </c>
      <c r="D79">
        <v>216</v>
      </c>
      <c r="E79">
        <v>0</v>
      </c>
      <c r="F79">
        <v>0</v>
      </c>
      <c r="G79">
        <v>0</v>
      </c>
      <c r="H79">
        <v>0</v>
      </c>
      <c r="I79">
        <v>1079</v>
      </c>
      <c r="J79">
        <v>177</v>
      </c>
      <c r="K79">
        <v>0</v>
      </c>
      <c r="L79">
        <v>21.6</v>
      </c>
      <c r="M79">
        <v>23</v>
      </c>
      <c r="N79">
        <v>28</v>
      </c>
      <c r="O79">
        <v>119.41</v>
      </c>
      <c r="P79">
        <v>106.67221000000001</v>
      </c>
      <c r="Q79">
        <v>12.73778931</v>
      </c>
      <c r="R79" s="4">
        <f>B79*_xlfn.XLOOKUP("Cement",Emission_Factors!$A$2:$A$13,Emission_Factors!$C$2:$C$13)+C79*_xlfn.XLOOKUP("Slag",Emission_Factors!$A$2:$A$13,Emission_Factors!$C$2:$C$13)+D79*_xlfn.XLOOKUP("Silica_Fume",Emission_Factors!$A$2:$A$13,Emission_Factors!$C$2:$C$13)+E79*_xlfn.XLOOKUP("Limestone_Powder",Emission_Factors!$A$2:$A$13,Emission_Factors!$C$2:$C$13)+F79*_xlfn.XLOOKUP("Quartz_Powder",Emission_Factors!$A$2:$A$13,Emission_Factors!$C$2:$C$13)+G79*_xlfn.XLOOKUP("Fly_Ash",Emission_Factors!$A$2:$A$13,Emission_Factors!$C$2:$C$13)+H79*_xlfn.XLOOKUP("Nano_Silica",Emission_Factors!$A$2:$A$13,Emission_Factors!$C$2:$C$13)+I79*_xlfn.XLOOKUP("Aggregate",Emission_Factors!$A$2:$A$13,Emission_Factors!$C$2:$C$13)+J79*_xlfn.XLOOKUP("Water",Emission_Factors!$A$2:$A$13,Emission_Factors!$C$2:$C$13)+K79*_xlfn.XLOOKUP("Fiber_Virgin",Emission_Factors!$A$2:$A$13,Emission_Factors!$C$2:$C$13)+L79*_xlfn.XLOOKUP("Superplasticizer",Emission_Factors!$A$2:$A$13,Emission_Factors!$C$2:$C$13)</f>
        <v>745.1340919999999</v>
      </c>
      <c r="S79" s="4">
        <f>B79*_xlfn.XLOOKUP("Cement",Emission_Factors!$A$2:$A$13,Emission_Factors!$C$2:$C$13)+C79*_xlfn.XLOOKUP("Slag",Emission_Factors!$A$2:$A$13,Emission_Factors!$C$2:$C$13)+D79*_xlfn.XLOOKUP("Silica_Fume",Emission_Factors!$A$2:$A$13,Emission_Factors!$C$2:$C$13)+E79*_xlfn.XLOOKUP("Limestone_Powder",Emission_Factors!$A$2:$A$13,Emission_Factors!$C$2:$C$13)+F79*_xlfn.XLOOKUP("Quartz_Powder",Emission_Factors!$A$2:$A$13,Emission_Factors!$C$2:$C$13)+G79*_xlfn.XLOOKUP("Fly_Ash",Emission_Factors!$A$2:$A$13,Emission_Factors!$C$2:$C$13)+H79*_xlfn.XLOOKUP("Nano_Silica",Emission_Factors!$A$2:$A$13,Emission_Factors!$C$2:$C$13)+I79*_xlfn.XLOOKUP("Aggregate",Emission_Factors!$A$2:$A$13,Emission_Factors!$C$2:$C$13)+J79*_xlfn.XLOOKUP("Water",Emission_Factors!$A$2:$A$13,Emission_Factors!$C$2:$C$13)+K79*_xlfn.XLOOKUP("Fiber_Recycled",Emission_Factors!$A$2:$A$13,Emission_Factors!$C$2:$C$13)+L79*_xlfn.XLOOKUP("Superplasticizer",Emission_Factors!$A$2:$A$13,Emission_Factors!$C$2:$C$13)</f>
        <v>745.1340919999999</v>
      </c>
    </row>
    <row r="80" spans="1:19" x14ac:dyDescent="0.25">
      <c r="A80">
        <v>379</v>
      </c>
      <c r="B80">
        <v>667.5</v>
      </c>
      <c r="C80">
        <v>0</v>
      </c>
      <c r="D80">
        <v>44.5</v>
      </c>
      <c r="E80">
        <v>0</v>
      </c>
      <c r="F80">
        <v>0</v>
      </c>
      <c r="G80">
        <v>178</v>
      </c>
      <c r="H80">
        <v>0</v>
      </c>
      <c r="I80">
        <v>1231</v>
      </c>
      <c r="J80">
        <v>178</v>
      </c>
      <c r="K80">
        <v>0</v>
      </c>
      <c r="L80">
        <v>30.2</v>
      </c>
      <c r="M80">
        <v>21</v>
      </c>
      <c r="N80">
        <v>90</v>
      </c>
      <c r="O80">
        <v>119.7</v>
      </c>
      <c r="P80">
        <v>119.05534</v>
      </c>
      <c r="Q80">
        <v>0.64465637200000003</v>
      </c>
      <c r="R80" s="4">
        <f>B80*_xlfn.XLOOKUP("Cement",Emission_Factors!$A$2:$A$13,Emission_Factors!$C$2:$C$13)+C80*_xlfn.XLOOKUP("Slag",Emission_Factors!$A$2:$A$13,Emission_Factors!$C$2:$C$13)+D80*_xlfn.XLOOKUP("Silica_Fume",Emission_Factors!$A$2:$A$13,Emission_Factors!$C$2:$C$13)+E80*_xlfn.XLOOKUP("Limestone_Powder",Emission_Factors!$A$2:$A$13,Emission_Factors!$C$2:$C$13)+F80*_xlfn.XLOOKUP("Quartz_Powder",Emission_Factors!$A$2:$A$13,Emission_Factors!$C$2:$C$13)+G80*_xlfn.XLOOKUP("Fly_Ash",Emission_Factors!$A$2:$A$13,Emission_Factors!$C$2:$C$13)+H80*_xlfn.XLOOKUP("Nano_Silica",Emission_Factors!$A$2:$A$13,Emission_Factors!$C$2:$C$13)+I80*_xlfn.XLOOKUP("Aggregate",Emission_Factors!$A$2:$A$13,Emission_Factors!$C$2:$C$13)+J80*_xlfn.XLOOKUP("Water",Emission_Factors!$A$2:$A$13,Emission_Factors!$C$2:$C$13)+K80*_xlfn.XLOOKUP("Fiber_Virgin",Emission_Factors!$A$2:$A$13,Emission_Factors!$C$2:$C$13)+L80*_xlfn.XLOOKUP("Superplasticizer",Emission_Factors!$A$2:$A$13,Emission_Factors!$C$2:$C$13)</f>
        <v>590.94868799999995</v>
      </c>
      <c r="S80" s="4">
        <f>B80*_xlfn.XLOOKUP("Cement",Emission_Factors!$A$2:$A$13,Emission_Factors!$C$2:$C$13)+C80*_xlfn.XLOOKUP("Slag",Emission_Factors!$A$2:$A$13,Emission_Factors!$C$2:$C$13)+D80*_xlfn.XLOOKUP("Silica_Fume",Emission_Factors!$A$2:$A$13,Emission_Factors!$C$2:$C$13)+E80*_xlfn.XLOOKUP("Limestone_Powder",Emission_Factors!$A$2:$A$13,Emission_Factors!$C$2:$C$13)+F80*_xlfn.XLOOKUP("Quartz_Powder",Emission_Factors!$A$2:$A$13,Emission_Factors!$C$2:$C$13)+G80*_xlfn.XLOOKUP("Fly_Ash",Emission_Factors!$A$2:$A$13,Emission_Factors!$C$2:$C$13)+H80*_xlfn.XLOOKUP("Nano_Silica",Emission_Factors!$A$2:$A$13,Emission_Factors!$C$2:$C$13)+I80*_xlfn.XLOOKUP("Aggregate",Emission_Factors!$A$2:$A$13,Emission_Factors!$C$2:$C$13)+J80*_xlfn.XLOOKUP("Water",Emission_Factors!$A$2:$A$13,Emission_Factors!$C$2:$C$13)+K80*_xlfn.XLOOKUP("Fiber_Recycled",Emission_Factors!$A$2:$A$13,Emission_Factors!$C$2:$C$13)+L80*_xlfn.XLOOKUP("Superplasticizer",Emission_Factors!$A$2:$A$13,Emission_Factors!$C$2:$C$13)</f>
        <v>590.94868799999995</v>
      </c>
    </row>
    <row r="81" spans="1:19" x14ac:dyDescent="0.25">
      <c r="A81">
        <v>385</v>
      </c>
      <c r="B81">
        <v>472</v>
      </c>
      <c r="C81">
        <v>315</v>
      </c>
      <c r="D81">
        <v>262</v>
      </c>
      <c r="E81">
        <v>0</v>
      </c>
      <c r="F81">
        <v>0</v>
      </c>
      <c r="G81">
        <v>0</v>
      </c>
      <c r="H81">
        <v>0</v>
      </c>
      <c r="I81">
        <v>1049</v>
      </c>
      <c r="J81">
        <v>178</v>
      </c>
      <c r="K81">
        <v>156</v>
      </c>
      <c r="L81">
        <v>21</v>
      </c>
      <c r="M81">
        <v>20</v>
      </c>
      <c r="N81">
        <v>28</v>
      </c>
      <c r="O81">
        <v>120.4</v>
      </c>
      <c r="P81">
        <v>131.91556</v>
      </c>
      <c r="Q81">
        <v>-11.515557859999999</v>
      </c>
      <c r="R81" s="4">
        <f>B81*_xlfn.XLOOKUP("Cement",Emission_Factors!$A$2:$A$13,Emission_Factors!$C$2:$C$13)+C81*_xlfn.XLOOKUP("Slag",Emission_Factors!$A$2:$A$13,Emission_Factors!$C$2:$C$13)+D81*_xlfn.XLOOKUP("Silica_Fume",Emission_Factors!$A$2:$A$13,Emission_Factors!$C$2:$C$13)+E81*_xlfn.XLOOKUP("Limestone_Powder",Emission_Factors!$A$2:$A$13,Emission_Factors!$C$2:$C$13)+F81*_xlfn.XLOOKUP("Quartz_Powder",Emission_Factors!$A$2:$A$13,Emission_Factors!$C$2:$C$13)+G81*_xlfn.XLOOKUP("Fly_Ash",Emission_Factors!$A$2:$A$13,Emission_Factors!$C$2:$C$13)+H81*_xlfn.XLOOKUP("Nano_Silica",Emission_Factors!$A$2:$A$13,Emission_Factors!$C$2:$C$13)+I81*_xlfn.XLOOKUP("Aggregate",Emission_Factors!$A$2:$A$13,Emission_Factors!$C$2:$C$13)+J81*_xlfn.XLOOKUP("Water",Emission_Factors!$A$2:$A$13,Emission_Factors!$C$2:$C$13)+K81*_xlfn.XLOOKUP("Fiber_Virgin",Emission_Factors!$A$2:$A$13,Emission_Factors!$C$2:$C$13)+L81*_xlfn.XLOOKUP("Superplasticizer",Emission_Factors!$A$2:$A$13,Emission_Factors!$C$2:$C$13)</f>
        <v>826.91188799999998</v>
      </c>
      <c r="S81" s="4">
        <f>B81*_xlfn.XLOOKUP("Cement",Emission_Factors!$A$2:$A$13,Emission_Factors!$C$2:$C$13)+C81*_xlfn.XLOOKUP("Slag",Emission_Factors!$A$2:$A$13,Emission_Factors!$C$2:$C$13)+D81*_xlfn.XLOOKUP("Silica_Fume",Emission_Factors!$A$2:$A$13,Emission_Factors!$C$2:$C$13)+E81*_xlfn.XLOOKUP("Limestone_Powder",Emission_Factors!$A$2:$A$13,Emission_Factors!$C$2:$C$13)+F81*_xlfn.XLOOKUP("Quartz_Powder",Emission_Factors!$A$2:$A$13,Emission_Factors!$C$2:$C$13)+G81*_xlfn.XLOOKUP("Fly_Ash",Emission_Factors!$A$2:$A$13,Emission_Factors!$C$2:$C$13)+H81*_xlfn.XLOOKUP("Nano_Silica",Emission_Factors!$A$2:$A$13,Emission_Factors!$C$2:$C$13)+I81*_xlfn.XLOOKUP("Aggregate",Emission_Factors!$A$2:$A$13,Emission_Factors!$C$2:$C$13)+J81*_xlfn.XLOOKUP("Water",Emission_Factors!$A$2:$A$13,Emission_Factors!$C$2:$C$13)+K81*_xlfn.XLOOKUP("Fiber_Recycled",Emission_Factors!$A$2:$A$13,Emission_Factors!$C$2:$C$13)+L81*_xlfn.XLOOKUP("Superplasticizer",Emission_Factors!$A$2:$A$13,Emission_Factors!$C$2:$C$13)</f>
        <v>577.31188799999995</v>
      </c>
    </row>
    <row r="82" spans="1:19" x14ac:dyDescent="0.25">
      <c r="A82">
        <v>387</v>
      </c>
      <c r="B82">
        <v>594.20000000000005</v>
      </c>
      <c r="C82">
        <v>0</v>
      </c>
      <c r="D82">
        <v>0</v>
      </c>
      <c r="E82">
        <v>265.3</v>
      </c>
      <c r="F82">
        <v>0</v>
      </c>
      <c r="G82">
        <v>0</v>
      </c>
      <c r="H82">
        <v>24.8</v>
      </c>
      <c r="I82">
        <v>1282.3</v>
      </c>
      <c r="J82">
        <v>176.9</v>
      </c>
      <c r="K82">
        <v>156</v>
      </c>
      <c r="L82">
        <v>44.2</v>
      </c>
      <c r="M82">
        <v>21</v>
      </c>
      <c r="N82">
        <v>28</v>
      </c>
      <c r="O82">
        <v>120.56</v>
      </c>
      <c r="P82">
        <v>133.52332999999999</v>
      </c>
      <c r="Q82">
        <v>-12.963330689999999</v>
      </c>
      <c r="R82" s="4">
        <f>B82*_xlfn.XLOOKUP("Cement",Emission_Factors!$A$2:$A$13,Emission_Factors!$C$2:$C$13)+C82*_xlfn.XLOOKUP("Slag",Emission_Factors!$A$2:$A$13,Emission_Factors!$C$2:$C$13)+D82*_xlfn.XLOOKUP("Silica_Fume",Emission_Factors!$A$2:$A$13,Emission_Factors!$C$2:$C$13)+E82*_xlfn.XLOOKUP("Limestone_Powder",Emission_Factors!$A$2:$A$13,Emission_Factors!$C$2:$C$13)+F82*_xlfn.XLOOKUP("Quartz_Powder",Emission_Factors!$A$2:$A$13,Emission_Factors!$C$2:$C$13)+G82*_xlfn.XLOOKUP("Fly_Ash",Emission_Factors!$A$2:$A$13,Emission_Factors!$C$2:$C$13)+H82*_xlfn.XLOOKUP("Nano_Silica",Emission_Factors!$A$2:$A$13,Emission_Factors!$C$2:$C$13)+I82*_xlfn.XLOOKUP("Aggregate",Emission_Factors!$A$2:$A$13,Emission_Factors!$C$2:$C$13)+J82*_xlfn.XLOOKUP("Water",Emission_Factors!$A$2:$A$13,Emission_Factors!$C$2:$C$13)+K82*_xlfn.XLOOKUP("Fiber_Virgin",Emission_Factors!$A$2:$A$13,Emission_Factors!$C$2:$C$13)+L82*_xlfn.XLOOKUP("Superplasticizer",Emission_Factors!$A$2:$A$13,Emission_Factors!$C$2:$C$13)</f>
        <v>973.06707240000003</v>
      </c>
      <c r="S82" s="4">
        <f>B82*_xlfn.XLOOKUP("Cement",Emission_Factors!$A$2:$A$13,Emission_Factors!$C$2:$C$13)+C82*_xlfn.XLOOKUP("Slag",Emission_Factors!$A$2:$A$13,Emission_Factors!$C$2:$C$13)+D82*_xlfn.XLOOKUP("Silica_Fume",Emission_Factors!$A$2:$A$13,Emission_Factors!$C$2:$C$13)+E82*_xlfn.XLOOKUP("Limestone_Powder",Emission_Factors!$A$2:$A$13,Emission_Factors!$C$2:$C$13)+F82*_xlfn.XLOOKUP("Quartz_Powder",Emission_Factors!$A$2:$A$13,Emission_Factors!$C$2:$C$13)+G82*_xlfn.XLOOKUP("Fly_Ash",Emission_Factors!$A$2:$A$13,Emission_Factors!$C$2:$C$13)+H82*_xlfn.XLOOKUP("Nano_Silica",Emission_Factors!$A$2:$A$13,Emission_Factors!$C$2:$C$13)+I82*_xlfn.XLOOKUP("Aggregate",Emission_Factors!$A$2:$A$13,Emission_Factors!$C$2:$C$13)+J82*_xlfn.XLOOKUP("Water",Emission_Factors!$A$2:$A$13,Emission_Factors!$C$2:$C$13)+K82*_xlfn.XLOOKUP("Fiber_Recycled",Emission_Factors!$A$2:$A$13,Emission_Factors!$C$2:$C$13)+L82*_xlfn.XLOOKUP("Superplasticizer",Emission_Factors!$A$2:$A$13,Emission_Factors!$C$2:$C$13)</f>
        <v>723.46707240000001</v>
      </c>
    </row>
    <row r="83" spans="1:19" x14ac:dyDescent="0.25">
      <c r="A83">
        <v>389</v>
      </c>
      <c r="B83">
        <v>720</v>
      </c>
      <c r="C83">
        <v>0</v>
      </c>
      <c r="D83">
        <v>80</v>
      </c>
      <c r="E83">
        <v>0</v>
      </c>
      <c r="F83">
        <v>0</v>
      </c>
      <c r="G83">
        <v>0</v>
      </c>
      <c r="H83">
        <v>0</v>
      </c>
      <c r="I83">
        <v>1422.9</v>
      </c>
      <c r="J83">
        <v>160</v>
      </c>
      <c r="K83">
        <v>0</v>
      </c>
      <c r="L83">
        <v>29.6</v>
      </c>
      <c r="M83">
        <v>23</v>
      </c>
      <c r="N83">
        <v>28</v>
      </c>
      <c r="O83">
        <v>120.7</v>
      </c>
      <c r="P83">
        <v>124.22538</v>
      </c>
      <c r="Q83">
        <v>-3.525379944</v>
      </c>
      <c r="R83" s="4">
        <f>B83*_xlfn.XLOOKUP("Cement",Emission_Factors!$A$2:$A$13,Emission_Factors!$C$2:$C$13)+C83*_xlfn.XLOOKUP("Slag",Emission_Factors!$A$2:$A$13,Emission_Factors!$C$2:$C$13)+D83*_xlfn.XLOOKUP("Silica_Fume",Emission_Factors!$A$2:$A$13,Emission_Factors!$C$2:$C$13)+E83*_xlfn.XLOOKUP("Limestone_Powder",Emission_Factors!$A$2:$A$13,Emission_Factors!$C$2:$C$13)+F83*_xlfn.XLOOKUP("Quartz_Powder",Emission_Factors!$A$2:$A$13,Emission_Factors!$C$2:$C$13)+G83*_xlfn.XLOOKUP("Fly_Ash",Emission_Factors!$A$2:$A$13,Emission_Factors!$C$2:$C$13)+H83*_xlfn.XLOOKUP("Nano_Silica",Emission_Factors!$A$2:$A$13,Emission_Factors!$C$2:$C$13)+I83*_xlfn.XLOOKUP("Aggregate",Emission_Factors!$A$2:$A$13,Emission_Factors!$C$2:$C$13)+J83*_xlfn.XLOOKUP("Water",Emission_Factors!$A$2:$A$13,Emission_Factors!$C$2:$C$13)+K83*_xlfn.XLOOKUP("Fiber_Virgin",Emission_Factors!$A$2:$A$13,Emission_Factors!$C$2:$C$13)+L83*_xlfn.XLOOKUP("Superplasticizer",Emission_Factors!$A$2:$A$13,Emission_Factors!$C$2:$C$13)</f>
        <v>633.80826000000002</v>
      </c>
      <c r="S83" s="4">
        <f>B83*_xlfn.XLOOKUP("Cement",Emission_Factors!$A$2:$A$13,Emission_Factors!$C$2:$C$13)+C83*_xlfn.XLOOKUP("Slag",Emission_Factors!$A$2:$A$13,Emission_Factors!$C$2:$C$13)+D83*_xlfn.XLOOKUP("Silica_Fume",Emission_Factors!$A$2:$A$13,Emission_Factors!$C$2:$C$13)+E83*_xlfn.XLOOKUP("Limestone_Powder",Emission_Factors!$A$2:$A$13,Emission_Factors!$C$2:$C$13)+F83*_xlfn.XLOOKUP("Quartz_Powder",Emission_Factors!$A$2:$A$13,Emission_Factors!$C$2:$C$13)+G83*_xlfn.XLOOKUP("Fly_Ash",Emission_Factors!$A$2:$A$13,Emission_Factors!$C$2:$C$13)+H83*_xlfn.XLOOKUP("Nano_Silica",Emission_Factors!$A$2:$A$13,Emission_Factors!$C$2:$C$13)+I83*_xlfn.XLOOKUP("Aggregate",Emission_Factors!$A$2:$A$13,Emission_Factors!$C$2:$C$13)+J83*_xlfn.XLOOKUP("Water",Emission_Factors!$A$2:$A$13,Emission_Factors!$C$2:$C$13)+K83*_xlfn.XLOOKUP("Fiber_Recycled",Emission_Factors!$A$2:$A$13,Emission_Factors!$C$2:$C$13)+L83*_xlfn.XLOOKUP("Superplasticizer",Emission_Factors!$A$2:$A$13,Emission_Factors!$C$2:$C$13)</f>
        <v>633.80826000000002</v>
      </c>
    </row>
    <row r="84" spans="1:19" x14ac:dyDescent="0.25">
      <c r="A84">
        <v>391</v>
      </c>
      <c r="B84">
        <v>874.9</v>
      </c>
      <c r="C84">
        <v>0</v>
      </c>
      <c r="D84">
        <v>43.7</v>
      </c>
      <c r="E84">
        <v>0</v>
      </c>
      <c r="F84">
        <v>0</v>
      </c>
      <c r="G84">
        <v>0</v>
      </c>
      <c r="H84">
        <v>0</v>
      </c>
      <c r="I84">
        <v>1273.4000000000001</v>
      </c>
      <c r="J84">
        <v>202.1</v>
      </c>
      <c r="K84">
        <v>156</v>
      </c>
      <c r="L84">
        <v>45.9</v>
      </c>
      <c r="M84">
        <v>21</v>
      </c>
      <c r="N84">
        <v>7</v>
      </c>
      <c r="O84">
        <v>120.81</v>
      </c>
      <c r="P84">
        <v>118.39269</v>
      </c>
      <c r="Q84">
        <v>2.417307434</v>
      </c>
      <c r="R84" s="4">
        <f>B84*_xlfn.XLOOKUP("Cement",Emission_Factors!$A$2:$A$13,Emission_Factors!$C$2:$C$13)+C84*_xlfn.XLOOKUP("Slag",Emission_Factors!$A$2:$A$13,Emission_Factors!$C$2:$C$13)+D84*_xlfn.XLOOKUP("Silica_Fume",Emission_Factors!$A$2:$A$13,Emission_Factors!$C$2:$C$13)+E84*_xlfn.XLOOKUP("Limestone_Powder",Emission_Factors!$A$2:$A$13,Emission_Factors!$C$2:$C$13)+F84*_xlfn.XLOOKUP("Quartz_Powder",Emission_Factors!$A$2:$A$13,Emission_Factors!$C$2:$C$13)+G84*_xlfn.XLOOKUP("Fly_Ash",Emission_Factors!$A$2:$A$13,Emission_Factors!$C$2:$C$13)+H84*_xlfn.XLOOKUP("Nano_Silica",Emission_Factors!$A$2:$A$13,Emission_Factors!$C$2:$C$13)+I84*_xlfn.XLOOKUP("Aggregate",Emission_Factors!$A$2:$A$13,Emission_Factors!$C$2:$C$13)+J84*_xlfn.XLOOKUP("Water",Emission_Factors!$A$2:$A$13,Emission_Factors!$C$2:$C$13)+K84*_xlfn.XLOOKUP("Fiber_Virgin",Emission_Factors!$A$2:$A$13,Emission_Factors!$C$2:$C$13)+L84*_xlfn.XLOOKUP("Superplasticizer",Emission_Factors!$A$2:$A$13,Emission_Factors!$C$2:$C$13)</f>
        <v>1166.5150116</v>
      </c>
      <c r="S84" s="4">
        <f>B84*_xlfn.XLOOKUP("Cement",Emission_Factors!$A$2:$A$13,Emission_Factors!$C$2:$C$13)+C84*_xlfn.XLOOKUP("Slag",Emission_Factors!$A$2:$A$13,Emission_Factors!$C$2:$C$13)+D84*_xlfn.XLOOKUP("Silica_Fume",Emission_Factors!$A$2:$A$13,Emission_Factors!$C$2:$C$13)+E84*_xlfn.XLOOKUP("Limestone_Powder",Emission_Factors!$A$2:$A$13,Emission_Factors!$C$2:$C$13)+F84*_xlfn.XLOOKUP("Quartz_Powder",Emission_Factors!$A$2:$A$13,Emission_Factors!$C$2:$C$13)+G84*_xlfn.XLOOKUP("Fly_Ash",Emission_Factors!$A$2:$A$13,Emission_Factors!$C$2:$C$13)+H84*_xlfn.XLOOKUP("Nano_Silica",Emission_Factors!$A$2:$A$13,Emission_Factors!$C$2:$C$13)+I84*_xlfn.XLOOKUP("Aggregate",Emission_Factors!$A$2:$A$13,Emission_Factors!$C$2:$C$13)+J84*_xlfn.XLOOKUP("Water",Emission_Factors!$A$2:$A$13,Emission_Factors!$C$2:$C$13)+K84*_xlfn.XLOOKUP("Fiber_Recycled",Emission_Factors!$A$2:$A$13,Emission_Factors!$C$2:$C$13)+L84*_xlfn.XLOOKUP("Superplasticizer",Emission_Factors!$A$2:$A$13,Emission_Factors!$C$2:$C$13)</f>
        <v>916.91501159999984</v>
      </c>
    </row>
    <row r="85" spans="1:19" x14ac:dyDescent="0.25">
      <c r="A85">
        <v>401</v>
      </c>
      <c r="B85">
        <v>900</v>
      </c>
      <c r="C85">
        <v>0</v>
      </c>
      <c r="D85">
        <v>110</v>
      </c>
      <c r="E85">
        <v>0</v>
      </c>
      <c r="F85">
        <v>0</v>
      </c>
      <c r="G85">
        <v>110</v>
      </c>
      <c r="H85">
        <v>0</v>
      </c>
      <c r="I85">
        <v>1036</v>
      </c>
      <c r="J85">
        <v>163</v>
      </c>
      <c r="K85">
        <v>156</v>
      </c>
      <c r="L85">
        <v>40</v>
      </c>
      <c r="M85">
        <v>23</v>
      </c>
      <c r="N85">
        <v>14</v>
      </c>
      <c r="O85">
        <v>122</v>
      </c>
      <c r="P85">
        <v>125.80511</v>
      </c>
      <c r="Q85">
        <v>-3.8051071169999999</v>
      </c>
      <c r="R85" s="4">
        <f>B85*_xlfn.XLOOKUP("Cement",Emission_Factors!$A$2:$A$13,Emission_Factors!$C$2:$C$13)+C85*_xlfn.XLOOKUP("Slag",Emission_Factors!$A$2:$A$13,Emission_Factors!$C$2:$C$13)+D85*_xlfn.XLOOKUP("Silica_Fume",Emission_Factors!$A$2:$A$13,Emission_Factors!$C$2:$C$13)+E85*_xlfn.XLOOKUP("Limestone_Powder",Emission_Factors!$A$2:$A$13,Emission_Factors!$C$2:$C$13)+F85*_xlfn.XLOOKUP("Quartz_Powder",Emission_Factors!$A$2:$A$13,Emission_Factors!$C$2:$C$13)+G85*_xlfn.XLOOKUP("Fly_Ash",Emission_Factors!$A$2:$A$13,Emission_Factors!$C$2:$C$13)+H85*_xlfn.XLOOKUP("Nano_Silica",Emission_Factors!$A$2:$A$13,Emission_Factors!$C$2:$C$13)+I85*_xlfn.XLOOKUP("Aggregate",Emission_Factors!$A$2:$A$13,Emission_Factors!$C$2:$C$13)+J85*_xlfn.XLOOKUP("Water",Emission_Factors!$A$2:$A$13,Emission_Factors!$C$2:$C$13)+K85*_xlfn.XLOOKUP("Fiber_Virgin",Emission_Factors!$A$2:$A$13,Emission_Factors!$C$2:$C$13)+L85*_xlfn.XLOOKUP("Superplasticizer",Emission_Factors!$A$2:$A$13,Emission_Factors!$C$2:$C$13)</f>
        <v>1182.5019479999999</v>
      </c>
      <c r="S85" s="4">
        <f>B85*_xlfn.XLOOKUP("Cement",Emission_Factors!$A$2:$A$13,Emission_Factors!$C$2:$C$13)+C85*_xlfn.XLOOKUP("Slag",Emission_Factors!$A$2:$A$13,Emission_Factors!$C$2:$C$13)+D85*_xlfn.XLOOKUP("Silica_Fume",Emission_Factors!$A$2:$A$13,Emission_Factors!$C$2:$C$13)+E85*_xlfn.XLOOKUP("Limestone_Powder",Emission_Factors!$A$2:$A$13,Emission_Factors!$C$2:$C$13)+F85*_xlfn.XLOOKUP("Quartz_Powder",Emission_Factors!$A$2:$A$13,Emission_Factors!$C$2:$C$13)+G85*_xlfn.XLOOKUP("Fly_Ash",Emission_Factors!$A$2:$A$13,Emission_Factors!$C$2:$C$13)+H85*_xlfn.XLOOKUP("Nano_Silica",Emission_Factors!$A$2:$A$13,Emission_Factors!$C$2:$C$13)+I85*_xlfn.XLOOKUP("Aggregate",Emission_Factors!$A$2:$A$13,Emission_Factors!$C$2:$C$13)+J85*_xlfn.XLOOKUP("Water",Emission_Factors!$A$2:$A$13,Emission_Factors!$C$2:$C$13)+K85*_xlfn.XLOOKUP("Fiber_Recycled",Emission_Factors!$A$2:$A$13,Emission_Factors!$C$2:$C$13)+L85*_xlfn.XLOOKUP("Superplasticizer",Emission_Factors!$A$2:$A$13,Emission_Factors!$C$2:$C$13)</f>
        <v>932.90194799999995</v>
      </c>
    </row>
    <row r="86" spans="1:19" x14ac:dyDescent="0.25">
      <c r="A86">
        <v>406</v>
      </c>
      <c r="B86">
        <v>852</v>
      </c>
      <c r="C86">
        <v>0</v>
      </c>
      <c r="D86">
        <v>216</v>
      </c>
      <c r="E86">
        <v>0</v>
      </c>
      <c r="F86">
        <v>0</v>
      </c>
      <c r="G86">
        <v>0</v>
      </c>
      <c r="H86">
        <v>10.8</v>
      </c>
      <c r="I86">
        <v>923</v>
      </c>
      <c r="J86">
        <v>177</v>
      </c>
      <c r="K86">
        <v>156</v>
      </c>
      <c r="L86">
        <v>32.36</v>
      </c>
      <c r="M86">
        <v>20</v>
      </c>
      <c r="N86">
        <v>7</v>
      </c>
      <c r="O86">
        <v>122.6</v>
      </c>
      <c r="P86">
        <v>120.72641</v>
      </c>
      <c r="Q86">
        <v>1.873590088</v>
      </c>
      <c r="R86" s="4">
        <f>B86*_xlfn.XLOOKUP("Cement",Emission_Factors!$A$2:$A$13,Emission_Factors!$C$2:$C$13)+C86*_xlfn.XLOOKUP("Slag",Emission_Factors!$A$2:$A$13,Emission_Factors!$C$2:$C$13)+D86*_xlfn.XLOOKUP("Silica_Fume",Emission_Factors!$A$2:$A$13,Emission_Factors!$C$2:$C$13)+E86*_xlfn.XLOOKUP("Limestone_Powder",Emission_Factors!$A$2:$A$13,Emission_Factors!$C$2:$C$13)+F86*_xlfn.XLOOKUP("Quartz_Powder",Emission_Factors!$A$2:$A$13,Emission_Factors!$C$2:$C$13)+G86*_xlfn.XLOOKUP("Fly_Ash",Emission_Factors!$A$2:$A$13,Emission_Factors!$C$2:$C$13)+H86*_xlfn.XLOOKUP("Nano_Silica",Emission_Factors!$A$2:$A$13,Emission_Factors!$C$2:$C$13)+I86*_xlfn.XLOOKUP("Aggregate",Emission_Factors!$A$2:$A$13,Emission_Factors!$C$2:$C$13)+J86*_xlfn.XLOOKUP("Water",Emission_Factors!$A$2:$A$13,Emission_Factors!$C$2:$C$13)+K86*_xlfn.XLOOKUP("Fiber_Virgin",Emission_Factors!$A$2:$A$13,Emission_Factors!$C$2:$C$13)+L86*_xlfn.XLOOKUP("Superplasticizer",Emission_Factors!$A$2:$A$13,Emission_Factors!$C$2:$C$13)</f>
        <v>1151.5815319999999</v>
      </c>
      <c r="S86" s="4">
        <f>B86*_xlfn.XLOOKUP("Cement",Emission_Factors!$A$2:$A$13,Emission_Factors!$C$2:$C$13)+C86*_xlfn.XLOOKUP("Slag",Emission_Factors!$A$2:$A$13,Emission_Factors!$C$2:$C$13)+D86*_xlfn.XLOOKUP("Silica_Fume",Emission_Factors!$A$2:$A$13,Emission_Factors!$C$2:$C$13)+E86*_xlfn.XLOOKUP("Limestone_Powder",Emission_Factors!$A$2:$A$13,Emission_Factors!$C$2:$C$13)+F86*_xlfn.XLOOKUP("Quartz_Powder",Emission_Factors!$A$2:$A$13,Emission_Factors!$C$2:$C$13)+G86*_xlfn.XLOOKUP("Fly_Ash",Emission_Factors!$A$2:$A$13,Emission_Factors!$C$2:$C$13)+H86*_xlfn.XLOOKUP("Nano_Silica",Emission_Factors!$A$2:$A$13,Emission_Factors!$C$2:$C$13)+I86*_xlfn.XLOOKUP("Aggregate",Emission_Factors!$A$2:$A$13,Emission_Factors!$C$2:$C$13)+J86*_xlfn.XLOOKUP("Water",Emission_Factors!$A$2:$A$13,Emission_Factors!$C$2:$C$13)+K86*_xlfn.XLOOKUP("Fiber_Recycled",Emission_Factors!$A$2:$A$13,Emission_Factors!$C$2:$C$13)+L86*_xlfn.XLOOKUP("Superplasticizer",Emission_Factors!$A$2:$A$13,Emission_Factors!$C$2:$C$13)</f>
        <v>901.9815319999999</v>
      </c>
    </row>
    <row r="87" spans="1:19" x14ac:dyDescent="0.25">
      <c r="A87">
        <v>413</v>
      </c>
      <c r="B87">
        <v>712</v>
      </c>
      <c r="C87">
        <v>0</v>
      </c>
      <c r="D87">
        <v>80</v>
      </c>
      <c r="E87">
        <v>0</v>
      </c>
      <c r="F87">
        <v>0</v>
      </c>
      <c r="G87">
        <v>0</v>
      </c>
      <c r="H87">
        <v>8</v>
      </c>
      <c r="I87">
        <v>1400.3</v>
      </c>
      <c r="J87">
        <v>160</v>
      </c>
      <c r="K87">
        <v>0</v>
      </c>
      <c r="L87">
        <v>37.6</v>
      </c>
      <c r="M87">
        <v>23</v>
      </c>
      <c r="N87">
        <v>14</v>
      </c>
      <c r="O87">
        <v>123</v>
      </c>
      <c r="P87">
        <v>122.85006</v>
      </c>
      <c r="Q87">
        <v>0.14994049100000001</v>
      </c>
      <c r="R87" s="4">
        <f>B87*_xlfn.XLOOKUP("Cement",Emission_Factors!$A$2:$A$13,Emission_Factors!$C$2:$C$13)+C87*_xlfn.XLOOKUP("Slag",Emission_Factors!$A$2:$A$13,Emission_Factors!$C$2:$C$13)+D87*_xlfn.XLOOKUP("Silica_Fume",Emission_Factors!$A$2:$A$13,Emission_Factors!$C$2:$C$13)+E87*_xlfn.XLOOKUP("Limestone_Powder",Emission_Factors!$A$2:$A$13,Emission_Factors!$C$2:$C$13)+F87*_xlfn.XLOOKUP("Quartz_Powder",Emission_Factors!$A$2:$A$13,Emission_Factors!$C$2:$C$13)+G87*_xlfn.XLOOKUP("Fly_Ash",Emission_Factors!$A$2:$A$13,Emission_Factors!$C$2:$C$13)+H87*_xlfn.XLOOKUP("Nano_Silica",Emission_Factors!$A$2:$A$13,Emission_Factors!$C$2:$C$13)+I87*_xlfn.XLOOKUP("Aggregate",Emission_Factors!$A$2:$A$13,Emission_Factors!$C$2:$C$13)+J87*_xlfn.XLOOKUP("Water",Emission_Factors!$A$2:$A$13,Emission_Factors!$C$2:$C$13)+K87*_xlfn.XLOOKUP("Fiber_Virgin",Emission_Factors!$A$2:$A$13,Emission_Factors!$C$2:$C$13)+L87*_xlfn.XLOOKUP("Superplasticizer",Emission_Factors!$A$2:$A$13,Emission_Factors!$C$2:$C$13)</f>
        <v>646.60725999999988</v>
      </c>
      <c r="S87" s="4">
        <f>B87*_xlfn.XLOOKUP("Cement",Emission_Factors!$A$2:$A$13,Emission_Factors!$C$2:$C$13)+C87*_xlfn.XLOOKUP("Slag",Emission_Factors!$A$2:$A$13,Emission_Factors!$C$2:$C$13)+D87*_xlfn.XLOOKUP("Silica_Fume",Emission_Factors!$A$2:$A$13,Emission_Factors!$C$2:$C$13)+E87*_xlfn.XLOOKUP("Limestone_Powder",Emission_Factors!$A$2:$A$13,Emission_Factors!$C$2:$C$13)+F87*_xlfn.XLOOKUP("Quartz_Powder",Emission_Factors!$A$2:$A$13,Emission_Factors!$C$2:$C$13)+G87*_xlfn.XLOOKUP("Fly_Ash",Emission_Factors!$A$2:$A$13,Emission_Factors!$C$2:$C$13)+H87*_xlfn.XLOOKUP("Nano_Silica",Emission_Factors!$A$2:$A$13,Emission_Factors!$C$2:$C$13)+I87*_xlfn.XLOOKUP("Aggregate",Emission_Factors!$A$2:$A$13,Emission_Factors!$C$2:$C$13)+J87*_xlfn.XLOOKUP("Water",Emission_Factors!$A$2:$A$13,Emission_Factors!$C$2:$C$13)+K87*_xlfn.XLOOKUP("Fiber_Recycled",Emission_Factors!$A$2:$A$13,Emission_Factors!$C$2:$C$13)+L87*_xlfn.XLOOKUP("Superplasticizer",Emission_Factors!$A$2:$A$13,Emission_Factors!$C$2:$C$13)</f>
        <v>646.60725999999988</v>
      </c>
    </row>
    <row r="88" spans="1:19" x14ac:dyDescent="0.25">
      <c r="A88">
        <v>418</v>
      </c>
      <c r="B88">
        <v>792</v>
      </c>
      <c r="C88">
        <v>0</v>
      </c>
      <c r="D88">
        <v>0</v>
      </c>
      <c r="E88">
        <v>0</v>
      </c>
      <c r="F88">
        <v>0</v>
      </c>
      <c r="G88">
        <v>0</v>
      </c>
      <c r="H88">
        <v>8</v>
      </c>
      <c r="I88">
        <v>1450.8</v>
      </c>
      <c r="J88">
        <v>160</v>
      </c>
      <c r="K88">
        <v>0</v>
      </c>
      <c r="L88">
        <v>28.8</v>
      </c>
      <c r="M88">
        <v>23</v>
      </c>
      <c r="N88">
        <v>56</v>
      </c>
      <c r="O88">
        <v>123.4</v>
      </c>
      <c r="P88">
        <v>124.83032</v>
      </c>
      <c r="Q88">
        <v>-1.4303222659999999</v>
      </c>
      <c r="R88" s="4">
        <f>B88*_xlfn.XLOOKUP("Cement",Emission_Factors!$A$2:$A$13,Emission_Factors!$C$2:$C$13)+C88*_xlfn.XLOOKUP("Slag",Emission_Factors!$A$2:$A$13,Emission_Factors!$C$2:$C$13)+D88*_xlfn.XLOOKUP("Silica_Fume",Emission_Factors!$A$2:$A$13,Emission_Factors!$C$2:$C$13)+E88*_xlfn.XLOOKUP("Limestone_Powder",Emission_Factors!$A$2:$A$13,Emission_Factors!$C$2:$C$13)+F88*_xlfn.XLOOKUP("Quartz_Powder",Emission_Factors!$A$2:$A$13,Emission_Factors!$C$2:$C$13)+G88*_xlfn.XLOOKUP("Fly_Ash",Emission_Factors!$A$2:$A$13,Emission_Factors!$C$2:$C$13)+H88*_xlfn.XLOOKUP("Nano_Silica",Emission_Factors!$A$2:$A$13,Emission_Factors!$C$2:$C$13)+I88*_xlfn.XLOOKUP("Aggregate",Emission_Factors!$A$2:$A$13,Emission_Factors!$C$2:$C$13)+J88*_xlfn.XLOOKUP("Water",Emission_Factors!$A$2:$A$13,Emission_Factors!$C$2:$C$13)+K88*_xlfn.XLOOKUP("Fiber_Virgin",Emission_Factors!$A$2:$A$13,Emission_Factors!$C$2:$C$13)+L88*_xlfn.XLOOKUP("Superplasticizer",Emission_Factors!$A$2:$A$13,Emission_Factors!$C$2:$C$13)</f>
        <v>703.83255999999994</v>
      </c>
      <c r="S88" s="4">
        <f>B88*_xlfn.XLOOKUP("Cement",Emission_Factors!$A$2:$A$13,Emission_Factors!$C$2:$C$13)+C88*_xlfn.XLOOKUP("Slag",Emission_Factors!$A$2:$A$13,Emission_Factors!$C$2:$C$13)+D88*_xlfn.XLOOKUP("Silica_Fume",Emission_Factors!$A$2:$A$13,Emission_Factors!$C$2:$C$13)+E88*_xlfn.XLOOKUP("Limestone_Powder",Emission_Factors!$A$2:$A$13,Emission_Factors!$C$2:$C$13)+F88*_xlfn.XLOOKUP("Quartz_Powder",Emission_Factors!$A$2:$A$13,Emission_Factors!$C$2:$C$13)+G88*_xlfn.XLOOKUP("Fly_Ash",Emission_Factors!$A$2:$A$13,Emission_Factors!$C$2:$C$13)+H88*_xlfn.XLOOKUP("Nano_Silica",Emission_Factors!$A$2:$A$13,Emission_Factors!$C$2:$C$13)+I88*_xlfn.XLOOKUP("Aggregate",Emission_Factors!$A$2:$A$13,Emission_Factors!$C$2:$C$13)+J88*_xlfn.XLOOKUP("Water",Emission_Factors!$A$2:$A$13,Emission_Factors!$C$2:$C$13)+K88*_xlfn.XLOOKUP("Fiber_Recycled",Emission_Factors!$A$2:$A$13,Emission_Factors!$C$2:$C$13)+L88*_xlfn.XLOOKUP("Superplasticizer",Emission_Factors!$A$2:$A$13,Emission_Factors!$C$2:$C$13)</f>
        <v>703.83255999999994</v>
      </c>
    </row>
    <row r="89" spans="1:19" x14ac:dyDescent="0.25">
      <c r="A89">
        <v>417</v>
      </c>
      <c r="B89">
        <v>784</v>
      </c>
      <c r="C89">
        <v>0</v>
      </c>
      <c r="D89">
        <v>0</v>
      </c>
      <c r="E89">
        <v>0</v>
      </c>
      <c r="F89">
        <v>0</v>
      </c>
      <c r="G89">
        <v>0</v>
      </c>
      <c r="H89">
        <v>16</v>
      </c>
      <c r="I89">
        <v>1430.2</v>
      </c>
      <c r="J89">
        <v>160</v>
      </c>
      <c r="K89">
        <v>0</v>
      </c>
      <c r="L89">
        <v>36</v>
      </c>
      <c r="M89">
        <v>23</v>
      </c>
      <c r="N89">
        <v>28</v>
      </c>
      <c r="O89">
        <v>123.4</v>
      </c>
      <c r="P89">
        <v>118.2462</v>
      </c>
      <c r="Q89">
        <v>5.1537994380000001</v>
      </c>
      <c r="R89" s="4">
        <f>B89*_xlfn.XLOOKUP("Cement",Emission_Factors!$A$2:$A$13,Emission_Factors!$C$2:$C$13)+C89*_xlfn.XLOOKUP("Slag",Emission_Factors!$A$2:$A$13,Emission_Factors!$C$2:$C$13)+D89*_xlfn.XLOOKUP("Silica_Fume",Emission_Factors!$A$2:$A$13,Emission_Factors!$C$2:$C$13)+E89*_xlfn.XLOOKUP("Limestone_Powder",Emission_Factors!$A$2:$A$13,Emission_Factors!$C$2:$C$13)+F89*_xlfn.XLOOKUP("Quartz_Powder",Emission_Factors!$A$2:$A$13,Emission_Factors!$C$2:$C$13)+G89*_xlfn.XLOOKUP("Fly_Ash",Emission_Factors!$A$2:$A$13,Emission_Factors!$C$2:$C$13)+H89*_xlfn.XLOOKUP("Nano_Silica",Emission_Factors!$A$2:$A$13,Emission_Factors!$C$2:$C$13)+I89*_xlfn.XLOOKUP("Aggregate",Emission_Factors!$A$2:$A$13,Emission_Factors!$C$2:$C$13)+J89*_xlfn.XLOOKUP("Water",Emission_Factors!$A$2:$A$13,Emission_Factors!$C$2:$C$13)+K89*_xlfn.XLOOKUP("Fiber_Virgin",Emission_Factors!$A$2:$A$13,Emission_Factors!$C$2:$C$13)+L89*_xlfn.XLOOKUP("Superplasticizer",Emission_Factors!$A$2:$A$13,Emission_Factors!$C$2:$C$13)</f>
        <v>715.88635999999985</v>
      </c>
      <c r="S89" s="4">
        <f>B89*_xlfn.XLOOKUP("Cement",Emission_Factors!$A$2:$A$13,Emission_Factors!$C$2:$C$13)+C89*_xlfn.XLOOKUP("Slag",Emission_Factors!$A$2:$A$13,Emission_Factors!$C$2:$C$13)+D89*_xlfn.XLOOKUP("Silica_Fume",Emission_Factors!$A$2:$A$13,Emission_Factors!$C$2:$C$13)+E89*_xlfn.XLOOKUP("Limestone_Powder",Emission_Factors!$A$2:$A$13,Emission_Factors!$C$2:$C$13)+F89*_xlfn.XLOOKUP("Quartz_Powder",Emission_Factors!$A$2:$A$13,Emission_Factors!$C$2:$C$13)+G89*_xlfn.XLOOKUP("Fly_Ash",Emission_Factors!$A$2:$A$13,Emission_Factors!$C$2:$C$13)+H89*_xlfn.XLOOKUP("Nano_Silica",Emission_Factors!$A$2:$A$13,Emission_Factors!$C$2:$C$13)+I89*_xlfn.XLOOKUP("Aggregate",Emission_Factors!$A$2:$A$13,Emission_Factors!$C$2:$C$13)+J89*_xlfn.XLOOKUP("Water",Emission_Factors!$A$2:$A$13,Emission_Factors!$C$2:$C$13)+K89*_xlfn.XLOOKUP("Fiber_Recycled",Emission_Factors!$A$2:$A$13,Emission_Factors!$C$2:$C$13)+L89*_xlfn.XLOOKUP("Superplasticizer",Emission_Factors!$A$2:$A$13,Emission_Factors!$C$2:$C$13)</f>
        <v>715.88635999999985</v>
      </c>
    </row>
    <row r="90" spans="1:19" x14ac:dyDescent="0.25">
      <c r="A90">
        <v>427</v>
      </c>
      <c r="B90">
        <v>720</v>
      </c>
      <c r="C90">
        <v>0</v>
      </c>
      <c r="D90">
        <v>80</v>
      </c>
      <c r="E90">
        <v>0</v>
      </c>
      <c r="F90">
        <v>0</v>
      </c>
      <c r="G90">
        <v>0</v>
      </c>
      <c r="H90">
        <v>0</v>
      </c>
      <c r="I90">
        <v>1422.9</v>
      </c>
      <c r="J90">
        <v>160</v>
      </c>
      <c r="K90">
        <v>0</v>
      </c>
      <c r="L90">
        <v>29.6</v>
      </c>
      <c r="M90">
        <v>23</v>
      </c>
      <c r="N90">
        <v>56</v>
      </c>
      <c r="O90">
        <v>124.2</v>
      </c>
      <c r="P90">
        <v>127.39236</v>
      </c>
      <c r="Q90">
        <v>-3.192356873</v>
      </c>
      <c r="R90" s="4">
        <f>B90*_xlfn.XLOOKUP("Cement",Emission_Factors!$A$2:$A$13,Emission_Factors!$C$2:$C$13)+C90*_xlfn.XLOOKUP("Slag",Emission_Factors!$A$2:$A$13,Emission_Factors!$C$2:$C$13)+D90*_xlfn.XLOOKUP("Silica_Fume",Emission_Factors!$A$2:$A$13,Emission_Factors!$C$2:$C$13)+E90*_xlfn.XLOOKUP("Limestone_Powder",Emission_Factors!$A$2:$A$13,Emission_Factors!$C$2:$C$13)+F90*_xlfn.XLOOKUP("Quartz_Powder",Emission_Factors!$A$2:$A$13,Emission_Factors!$C$2:$C$13)+G90*_xlfn.XLOOKUP("Fly_Ash",Emission_Factors!$A$2:$A$13,Emission_Factors!$C$2:$C$13)+H90*_xlfn.XLOOKUP("Nano_Silica",Emission_Factors!$A$2:$A$13,Emission_Factors!$C$2:$C$13)+I90*_xlfn.XLOOKUP("Aggregate",Emission_Factors!$A$2:$A$13,Emission_Factors!$C$2:$C$13)+J90*_xlfn.XLOOKUP("Water",Emission_Factors!$A$2:$A$13,Emission_Factors!$C$2:$C$13)+K90*_xlfn.XLOOKUP("Fiber_Virgin",Emission_Factors!$A$2:$A$13,Emission_Factors!$C$2:$C$13)+L90*_xlfn.XLOOKUP("Superplasticizer",Emission_Factors!$A$2:$A$13,Emission_Factors!$C$2:$C$13)</f>
        <v>633.80826000000002</v>
      </c>
      <c r="S90" s="4">
        <f>B90*_xlfn.XLOOKUP("Cement",Emission_Factors!$A$2:$A$13,Emission_Factors!$C$2:$C$13)+C90*_xlfn.XLOOKUP("Slag",Emission_Factors!$A$2:$A$13,Emission_Factors!$C$2:$C$13)+D90*_xlfn.XLOOKUP("Silica_Fume",Emission_Factors!$A$2:$A$13,Emission_Factors!$C$2:$C$13)+E90*_xlfn.XLOOKUP("Limestone_Powder",Emission_Factors!$A$2:$A$13,Emission_Factors!$C$2:$C$13)+F90*_xlfn.XLOOKUP("Quartz_Powder",Emission_Factors!$A$2:$A$13,Emission_Factors!$C$2:$C$13)+G90*_xlfn.XLOOKUP("Fly_Ash",Emission_Factors!$A$2:$A$13,Emission_Factors!$C$2:$C$13)+H90*_xlfn.XLOOKUP("Nano_Silica",Emission_Factors!$A$2:$A$13,Emission_Factors!$C$2:$C$13)+I90*_xlfn.XLOOKUP("Aggregate",Emission_Factors!$A$2:$A$13,Emission_Factors!$C$2:$C$13)+J90*_xlfn.XLOOKUP("Water",Emission_Factors!$A$2:$A$13,Emission_Factors!$C$2:$C$13)+K90*_xlfn.XLOOKUP("Fiber_Recycled",Emission_Factors!$A$2:$A$13,Emission_Factors!$C$2:$C$13)+L90*_xlfn.XLOOKUP("Superplasticizer",Emission_Factors!$A$2:$A$13,Emission_Factors!$C$2:$C$13)</f>
        <v>633.80826000000002</v>
      </c>
    </row>
    <row r="91" spans="1:19" x14ac:dyDescent="0.25">
      <c r="A91">
        <v>435</v>
      </c>
      <c r="B91">
        <v>716</v>
      </c>
      <c r="C91">
        <v>0</v>
      </c>
      <c r="D91">
        <v>80</v>
      </c>
      <c r="E91">
        <v>0</v>
      </c>
      <c r="F91">
        <v>0</v>
      </c>
      <c r="G91">
        <v>0</v>
      </c>
      <c r="H91">
        <v>4</v>
      </c>
      <c r="I91">
        <v>1411.6</v>
      </c>
      <c r="J91">
        <v>160</v>
      </c>
      <c r="K91">
        <v>0</v>
      </c>
      <c r="L91">
        <v>33.6</v>
      </c>
      <c r="M91">
        <v>23</v>
      </c>
      <c r="N91">
        <v>28</v>
      </c>
      <c r="O91">
        <v>125</v>
      </c>
      <c r="P91">
        <v>124.12908</v>
      </c>
      <c r="Q91">
        <v>0.87091827399999999</v>
      </c>
      <c r="R91" s="4">
        <f>B91*_xlfn.XLOOKUP("Cement",Emission_Factors!$A$2:$A$13,Emission_Factors!$C$2:$C$13)+C91*_xlfn.XLOOKUP("Slag",Emission_Factors!$A$2:$A$13,Emission_Factors!$C$2:$C$13)+D91*_xlfn.XLOOKUP("Silica_Fume",Emission_Factors!$A$2:$A$13,Emission_Factors!$C$2:$C$13)+E91*_xlfn.XLOOKUP("Limestone_Powder",Emission_Factors!$A$2:$A$13,Emission_Factors!$C$2:$C$13)+F91*_xlfn.XLOOKUP("Quartz_Powder",Emission_Factors!$A$2:$A$13,Emission_Factors!$C$2:$C$13)+G91*_xlfn.XLOOKUP("Fly_Ash",Emission_Factors!$A$2:$A$13,Emission_Factors!$C$2:$C$13)+H91*_xlfn.XLOOKUP("Nano_Silica",Emission_Factors!$A$2:$A$13,Emission_Factors!$C$2:$C$13)+I91*_xlfn.XLOOKUP("Aggregate",Emission_Factors!$A$2:$A$13,Emission_Factors!$C$2:$C$13)+J91*_xlfn.XLOOKUP("Water",Emission_Factors!$A$2:$A$13,Emission_Factors!$C$2:$C$13)+K91*_xlfn.XLOOKUP("Fiber_Virgin",Emission_Factors!$A$2:$A$13,Emission_Factors!$C$2:$C$13)+L91*_xlfn.XLOOKUP("Superplasticizer",Emission_Factors!$A$2:$A$13,Emission_Factors!$C$2:$C$13)</f>
        <v>640.20775999999989</v>
      </c>
      <c r="S91" s="4">
        <f>B91*_xlfn.XLOOKUP("Cement",Emission_Factors!$A$2:$A$13,Emission_Factors!$C$2:$C$13)+C91*_xlfn.XLOOKUP("Slag",Emission_Factors!$A$2:$A$13,Emission_Factors!$C$2:$C$13)+D91*_xlfn.XLOOKUP("Silica_Fume",Emission_Factors!$A$2:$A$13,Emission_Factors!$C$2:$C$13)+E91*_xlfn.XLOOKUP("Limestone_Powder",Emission_Factors!$A$2:$A$13,Emission_Factors!$C$2:$C$13)+F91*_xlfn.XLOOKUP("Quartz_Powder",Emission_Factors!$A$2:$A$13,Emission_Factors!$C$2:$C$13)+G91*_xlfn.XLOOKUP("Fly_Ash",Emission_Factors!$A$2:$A$13,Emission_Factors!$C$2:$C$13)+H91*_xlfn.XLOOKUP("Nano_Silica",Emission_Factors!$A$2:$A$13,Emission_Factors!$C$2:$C$13)+I91*_xlfn.XLOOKUP("Aggregate",Emission_Factors!$A$2:$A$13,Emission_Factors!$C$2:$C$13)+J91*_xlfn.XLOOKUP("Water",Emission_Factors!$A$2:$A$13,Emission_Factors!$C$2:$C$13)+K91*_xlfn.XLOOKUP("Fiber_Recycled",Emission_Factors!$A$2:$A$13,Emission_Factors!$C$2:$C$13)+L91*_xlfn.XLOOKUP("Superplasticizer",Emission_Factors!$A$2:$A$13,Emission_Factors!$C$2:$C$13)</f>
        <v>640.20775999999989</v>
      </c>
    </row>
    <row r="92" spans="1:19" x14ac:dyDescent="0.25">
      <c r="A92">
        <v>448</v>
      </c>
      <c r="B92">
        <v>845.5</v>
      </c>
      <c r="C92">
        <v>0</v>
      </c>
      <c r="D92">
        <v>44.5</v>
      </c>
      <c r="E92">
        <v>0</v>
      </c>
      <c r="F92">
        <v>0</v>
      </c>
      <c r="G92">
        <v>0</v>
      </c>
      <c r="H92">
        <v>0</v>
      </c>
      <c r="I92">
        <v>1231</v>
      </c>
      <c r="J92">
        <v>178</v>
      </c>
      <c r="K92">
        <v>0</v>
      </c>
      <c r="L92">
        <v>30.2</v>
      </c>
      <c r="M92">
        <v>21</v>
      </c>
      <c r="N92">
        <v>90</v>
      </c>
      <c r="O92">
        <v>126.2</v>
      </c>
      <c r="P92">
        <v>125.54926</v>
      </c>
      <c r="Q92">
        <v>0.65073700000000001</v>
      </c>
      <c r="R92" s="4">
        <f>B92*_xlfn.XLOOKUP("Cement",Emission_Factors!$A$2:$A$13,Emission_Factors!$C$2:$C$13)+C92*_xlfn.XLOOKUP("Slag",Emission_Factors!$A$2:$A$13,Emission_Factors!$C$2:$C$13)+D92*_xlfn.XLOOKUP("Silica_Fume",Emission_Factors!$A$2:$A$13,Emission_Factors!$C$2:$C$13)+E92*_xlfn.XLOOKUP("Limestone_Powder",Emission_Factors!$A$2:$A$13,Emission_Factors!$C$2:$C$13)+F92*_xlfn.XLOOKUP("Quartz_Powder",Emission_Factors!$A$2:$A$13,Emission_Factors!$C$2:$C$13)+G92*_xlfn.XLOOKUP("Fly_Ash",Emission_Factors!$A$2:$A$13,Emission_Factors!$C$2:$C$13)+H92*_xlfn.XLOOKUP("Nano_Silica",Emission_Factors!$A$2:$A$13,Emission_Factors!$C$2:$C$13)+I92*_xlfn.XLOOKUP("Aggregate",Emission_Factors!$A$2:$A$13,Emission_Factors!$C$2:$C$13)+J92*_xlfn.XLOOKUP("Water",Emission_Factors!$A$2:$A$13,Emission_Factors!$C$2:$C$13)+K92*_xlfn.XLOOKUP("Fiber_Virgin",Emission_Factors!$A$2:$A$13,Emission_Factors!$C$2:$C$13)+L92*_xlfn.XLOOKUP("Superplasticizer",Emission_Factors!$A$2:$A$13,Emission_Factors!$C$2:$C$13)</f>
        <v>737.08668799999998</v>
      </c>
      <c r="S92" s="4">
        <f>B92*_xlfn.XLOOKUP("Cement",Emission_Factors!$A$2:$A$13,Emission_Factors!$C$2:$C$13)+C92*_xlfn.XLOOKUP("Slag",Emission_Factors!$A$2:$A$13,Emission_Factors!$C$2:$C$13)+D92*_xlfn.XLOOKUP("Silica_Fume",Emission_Factors!$A$2:$A$13,Emission_Factors!$C$2:$C$13)+E92*_xlfn.XLOOKUP("Limestone_Powder",Emission_Factors!$A$2:$A$13,Emission_Factors!$C$2:$C$13)+F92*_xlfn.XLOOKUP("Quartz_Powder",Emission_Factors!$A$2:$A$13,Emission_Factors!$C$2:$C$13)+G92*_xlfn.XLOOKUP("Fly_Ash",Emission_Factors!$A$2:$A$13,Emission_Factors!$C$2:$C$13)+H92*_xlfn.XLOOKUP("Nano_Silica",Emission_Factors!$A$2:$A$13,Emission_Factors!$C$2:$C$13)+I92*_xlfn.XLOOKUP("Aggregate",Emission_Factors!$A$2:$A$13,Emission_Factors!$C$2:$C$13)+J92*_xlfn.XLOOKUP("Water",Emission_Factors!$A$2:$A$13,Emission_Factors!$C$2:$C$13)+K92*_xlfn.XLOOKUP("Fiber_Recycled",Emission_Factors!$A$2:$A$13,Emission_Factors!$C$2:$C$13)+L92*_xlfn.XLOOKUP("Superplasticizer",Emission_Factors!$A$2:$A$13,Emission_Factors!$C$2:$C$13)</f>
        <v>737.08668799999998</v>
      </c>
    </row>
    <row r="93" spans="1:19" x14ac:dyDescent="0.25">
      <c r="A93">
        <v>455</v>
      </c>
      <c r="B93">
        <v>850</v>
      </c>
      <c r="C93">
        <v>0</v>
      </c>
      <c r="D93">
        <v>150</v>
      </c>
      <c r="E93">
        <v>0</v>
      </c>
      <c r="F93">
        <v>0</v>
      </c>
      <c r="G93">
        <v>0</v>
      </c>
      <c r="H93">
        <v>0</v>
      </c>
      <c r="I93">
        <v>1181.5</v>
      </c>
      <c r="J93">
        <v>200</v>
      </c>
      <c r="K93">
        <v>0</v>
      </c>
      <c r="L93">
        <v>10.029999999999999</v>
      </c>
      <c r="M93">
        <v>23</v>
      </c>
      <c r="N93">
        <v>28</v>
      </c>
      <c r="O93">
        <v>127.32</v>
      </c>
      <c r="P93">
        <v>126.46039</v>
      </c>
      <c r="Q93">
        <v>0.85961181600000003</v>
      </c>
      <c r="R93" s="4">
        <f>B93*_xlfn.XLOOKUP("Cement",Emission_Factors!$A$2:$A$13,Emission_Factors!$C$2:$C$13)+C93*_xlfn.XLOOKUP("Slag",Emission_Factors!$A$2:$A$13,Emission_Factors!$C$2:$C$13)+D93*_xlfn.XLOOKUP("Silica_Fume",Emission_Factors!$A$2:$A$13,Emission_Factors!$C$2:$C$13)+E93*_xlfn.XLOOKUP("Limestone_Powder",Emission_Factors!$A$2:$A$13,Emission_Factors!$C$2:$C$13)+F93*_xlfn.XLOOKUP("Quartz_Powder",Emission_Factors!$A$2:$A$13,Emission_Factors!$C$2:$C$13)+G93*_xlfn.XLOOKUP("Fly_Ash",Emission_Factors!$A$2:$A$13,Emission_Factors!$C$2:$C$13)+H93*_xlfn.XLOOKUP("Nano_Silica",Emission_Factors!$A$2:$A$13,Emission_Factors!$C$2:$C$13)+I93*_xlfn.XLOOKUP("Aggregate",Emission_Factors!$A$2:$A$13,Emission_Factors!$C$2:$C$13)+J93*_xlfn.XLOOKUP("Water",Emission_Factors!$A$2:$A$13,Emission_Factors!$C$2:$C$13)+K93*_xlfn.XLOOKUP("Fiber_Virgin",Emission_Factors!$A$2:$A$13,Emission_Factors!$C$2:$C$13)+L93*_xlfn.XLOOKUP("Superplasticizer",Emission_Factors!$A$2:$A$13,Emission_Factors!$C$2:$C$13)</f>
        <v>723.01502000000005</v>
      </c>
      <c r="S93" s="4">
        <f>B93*_xlfn.XLOOKUP("Cement",Emission_Factors!$A$2:$A$13,Emission_Factors!$C$2:$C$13)+C93*_xlfn.XLOOKUP("Slag",Emission_Factors!$A$2:$A$13,Emission_Factors!$C$2:$C$13)+D93*_xlfn.XLOOKUP("Silica_Fume",Emission_Factors!$A$2:$A$13,Emission_Factors!$C$2:$C$13)+E93*_xlfn.XLOOKUP("Limestone_Powder",Emission_Factors!$A$2:$A$13,Emission_Factors!$C$2:$C$13)+F93*_xlfn.XLOOKUP("Quartz_Powder",Emission_Factors!$A$2:$A$13,Emission_Factors!$C$2:$C$13)+G93*_xlfn.XLOOKUP("Fly_Ash",Emission_Factors!$A$2:$A$13,Emission_Factors!$C$2:$C$13)+H93*_xlfn.XLOOKUP("Nano_Silica",Emission_Factors!$A$2:$A$13,Emission_Factors!$C$2:$C$13)+I93*_xlfn.XLOOKUP("Aggregate",Emission_Factors!$A$2:$A$13,Emission_Factors!$C$2:$C$13)+J93*_xlfn.XLOOKUP("Water",Emission_Factors!$A$2:$A$13,Emission_Factors!$C$2:$C$13)+K93*_xlfn.XLOOKUP("Fiber_Recycled",Emission_Factors!$A$2:$A$13,Emission_Factors!$C$2:$C$13)+L93*_xlfn.XLOOKUP("Superplasticizer",Emission_Factors!$A$2:$A$13,Emission_Factors!$C$2:$C$13)</f>
        <v>723.01502000000005</v>
      </c>
    </row>
    <row r="94" spans="1:19" x14ac:dyDescent="0.25">
      <c r="A94">
        <v>454</v>
      </c>
      <c r="B94">
        <v>720</v>
      </c>
      <c r="C94">
        <v>0</v>
      </c>
      <c r="D94">
        <v>180</v>
      </c>
      <c r="E94">
        <v>0</v>
      </c>
      <c r="F94">
        <v>0</v>
      </c>
      <c r="G94">
        <v>0</v>
      </c>
      <c r="H94">
        <v>0</v>
      </c>
      <c r="I94">
        <v>1296</v>
      </c>
      <c r="J94">
        <v>180</v>
      </c>
      <c r="K94">
        <v>0</v>
      </c>
      <c r="L94">
        <v>12.6</v>
      </c>
      <c r="M94">
        <v>23</v>
      </c>
      <c r="N94">
        <v>28</v>
      </c>
      <c r="O94">
        <v>127.32</v>
      </c>
      <c r="P94">
        <v>123.563034</v>
      </c>
      <c r="Q94">
        <v>3.7569659419999999</v>
      </c>
      <c r="R94" s="4">
        <f>B94*_xlfn.XLOOKUP("Cement",Emission_Factors!$A$2:$A$13,Emission_Factors!$C$2:$C$13)+C94*_xlfn.XLOOKUP("Slag",Emission_Factors!$A$2:$A$13,Emission_Factors!$C$2:$C$13)+D94*_xlfn.XLOOKUP("Silica_Fume",Emission_Factors!$A$2:$A$13,Emission_Factors!$C$2:$C$13)+E94*_xlfn.XLOOKUP("Limestone_Powder",Emission_Factors!$A$2:$A$13,Emission_Factors!$C$2:$C$13)+F94*_xlfn.XLOOKUP("Quartz_Powder",Emission_Factors!$A$2:$A$13,Emission_Factors!$C$2:$C$13)+G94*_xlfn.XLOOKUP("Fly_Ash",Emission_Factors!$A$2:$A$13,Emission_Factors!$C$2:$C$13)+H94*_xlfn.XLOOKUP("Nano_Silica",Emission_Factors!$A$2:$A$13,Emission_Factors!$C$2:$C$13)+I94*_xlfn.XLOOKUP("Aggregate",Emission_Factors!$A$2:$A$13,Emission_Factors!$C$2:$C$13)+J94*_xlfn.XLOOKUP("Water",Emission_Factors!$A$2:$A$13,Emission_Factors!$C$2:$C$13)+K94*_xlfn.XLOOKUP("Fiber_Virgin",Emission_Factors!$A$2:$A$13,Emission_Factors!$C$2:$C$13)+L94*_xlfn.XLOOKUP("Superplasticizer",Emission_Factors!$A$2:$A$13,Emission_Factors!$C$2:$C$13)</f>
        <v>618.52967999999998</v>
      </c>
      <c r="S94" s="4">
        <f>B94*_xlfn.XLOOKUP("Cement",Emission_Factors!$A$2:$A$13,Emission_Factors!$C$2:$C$13)+C94*_xlfn.XLOOKUP("Slag",Emission_Factors!$A$2:$A$13,Emission_Factors!$C$2:$C$13)+D94*_xlfn.XLOOKUP("Silica_Fume",Emission_Factors!$A$2:$A$13,Emission_Factors!$C$2:$C$13)+E94*_xlfn.XLOOKUP("Limestone_Powder",Emission_Factors!$A$2:$A$13,Emission_Factors!$C$2:$C$13)+F94*_xlfn.XLOOKUP("Quartz_Powder",Emission_Factors!$A$2:$A$13,Emission_Factors!$C$2:$C$13)+G94*_xlfn.XLOOKUP("Fly_Ash",Emission_Factors!$A$2:$A$13,Emission_Factors!$C$2:$C$13)+H94*_xlfn.XLOOKUP("Nano_Silica",Emission_Factors!$A$2:$A$13,Emission_Factors!$C$2:$C$13)+I94*_xlfn.XLOOKUP("Aggregate",Emission_Factors!$A$2:$A$13,Emission_Factors!$C$2:$C$13)+J94*_xlfn.XLOOKUP("Water",Emission_Factors!$A$2:$A$13,Emission_Factors!$C$2:$C$13)+K94*_xlfn.XLOOKUP("Fiber_Recycled",Emission_Factors!$A$2:$A$13,Emission_Factors!$C$2:$C$13)+L94*_xlfn.XLOOKUP("Superplasticizer",Emission_Factors!$A$2:$A$13,Emission_Factors!$C$2:$C$13)</f>
        <v>618.52967999999998</v>
      </c>
    </row>
    <row r="95" spans="1:19" x14ac:dyDescent="0.25">
      <c r="A95">
        <v>458</v>
      </c>
      <c r="B95">
        <v>960</v>
      </c>
      <c r="C95">
        <v>0</v>
      </c>
      <c r="D95">
        <v>240</v>
      </c>
      <c r="E95">
        <v>0</v>
      </c>
      <c r="F95">
        <v>0</v>
      </c>
      <c r="G95">
        <v>0</v>
      </c>
      <c r="H95">
        <v>0</v>
      </c>
      <c r="I95">
        <v>764.7</v>
      </c>
      <c r="J95">
        <v>234</v>
      </c>
      <c r="K95">
        <v>78</v>
      </c>
      <c r="L95">
        <v>45</v>
      </c>
      <c r="M95">
        <v>23</v>
      </c>
      <c r="N95">
        <v>7</v>
      </c>
      <c r="O95">
        <v>127.4</v>
      </c>
      <c r="P95">
        <v>126.370155</v>
      </c>
      <c r="Q95">
        <v>1.029844666</v>
      </c>
      <c r="R95" s="4">
        <f>B95*_xlfn.XLOOKUP("Cement",Emission_Factors!$A$2:$A$13,Emission_Factors!$C$2:$C$13)+C95*_xlfn.XLOOKUP("Slag",Emission_Factors!$A$2:$A$13,Emission_Factors!$C$2:$C$13)+D95*_xlfn.XLOOKUP("Silica_Fume",Emission_Factors!$A$2:$A$13,Emission_Factors!$C$2:$C$13)+E95*_xlfn.XLOOKUP("Limestone_Powder",Emission_Factors!$A$2:$A$13,Emission_Factors!$C$2:$C$13)+F95*_xlfn.XLOOKUP("Quartz_Powder",Emission_Factors!$A$2:$A$13,Emission_Factors!$C$2:$C$13)+G95*_xlfn.XLOOKUP("Fly_Ash",Emission_Factors!$A$2:$A$13,Emission_Factors!$C$2:$C$13)+H95*_xlfn.XLOOKUP("Nano_Silica",Emission_Factors!$A$2:$A$13,Emission_Factors!$C$2:$C$13)+I95*_xlfn.XLOOKUP("Aggregate",Emission_Factors!$A$2:$A$13,Emission_Factors!$C$2:$C$13)+J95*_xlfn.XLOOKUP("Water",Emission_Factors!$A$2:$A$13,Emission_Factors!$C$2:$C$13)+K95*_xlfn.XLOOKUP("Fiber_Virgin",Emission_Factors!$A$2:$A$13,Emission_Factors!$C$2:$C$13)+L95*_xlfn.XLOOKUP("Superplasticizer",Emission_Factors!$A$2:$A$13,Emission_Factors!$C$2:$C$13)</f>
        <v>1041.509364</v>
      </c>
      <c r="S95" s="4">
        <f>B95*_xlfn.XLOOKUP("Cement",Emission_Factors!$A$2:$A$13,Emission_Factors!$C$2:$C$13)+C95*_xlfn.XLOOKUP("Slag",Emission_Factors!$A$2:$A$13,Emission_Factors!$C$2:$C$13)+D95*_xlfn.XLOOKUP("Silica_Fume",Emission_Factors!$A$2:$A$13,Emission_Factors!$C$2:$C$13)+E95*_xlfn.XLOOKUP("Limestone_Powder",Emission_Factors!$A$2:$A$13,Emission_Factors!$C$2:$C$13)+F95*_xlfn.XLOOKUP("Quartz_Powder",Emission_Factors!$A$2:$A$13,Emission_Factors!$C$2:$C$13)+G95*_xlfn.XLOOKUP("Fly_Ash",Emission_Factors!$A$2:$A$13,Emission_Factors!$C$2:$C$13)+H95*_xlfn.XLOOKUP("Nano_Silica",Emission_Factors!$A$2:$A$13,Emission_Factors!$C$2:$C$13)+I95*_xlfn.XLOOKUP("Aggregate",Emission_Factors!$A$2:$A$13,Emission_Factors!$C$2:$C$13)+J95*_xlfn.XLOOKUP("Water",Emission_Factors!$A$2:$A$13,Emission_Factors!$C$2:$C$13)+K95*_xlfn.XLOOKUP("Fiber_Recycled",Emission_Factors!$A$2:$A$13,Emission_Factors!$C$2:$C$13)+L95*_xlfn.XLOOKUP("Superplasticizer",Emission_Factors!$A$2:$A$13,Emission_Factors!$C$2:$C$13)</f>
        <v>916.70936400000005</v>
      </c>
    </row>
    <row r="96" spans="1:19" x14ac:dyDescent="0.25">
      <c r="A96">
        <v>461</v>
      </c>
      <c r="B96">
        <v>472</v>
      </c>
      <c r="C96">
        <v>315</v>
      </c>
      <c r="D96">
        <v>262</v>
      </c>
      <c r="E96">
        <v>0</v>
      </c>
      <c r="F96">
        <v>0</v>
      </c>
      <c r="G96">
        <v>0</v>
      </c>
      <c r="H96">
        <v>0</v>
      </c>
      <c r="I96">
        <v>1049</v>
      </c>
      <c r="J96">
        <v>178</v>
      </c>
      <c r="K96">
        <v>156</v>
      </c>
      <c r="L96">
        <v>21</v>
      </c>
      <c r="M96">
        <v>23</v>
      </c>
      <c r="N96">
        <v>28</v>
      </c>
      <c r="O96">
        <v>127.6</v>
      </c>
      <c r="P96">
        <v>129.40710000000001</v>
      </c>
      <c r="Q96">
        <v>-1.8071044919999999</v>
      </c>
      <c r="R96" s="4">
        <f>B96*_xlfn.XLOOKUP("Cement",Emission_Factors!$A$2:$A$13,Emission_Factors!$C$2:$C$13)+C96*_xlfn.XLOOKUP("Slag",Emission_Factors!$A$2:$A$13,Emission_Factors!$C$2:$C$13)+D96*_xlfn.XLOOKUP("Silica_Fume",Emission_Factors!$A$2:$A$13,Emission_Factors!$C$2:$C$13)+E96*_xlfn.XLOOKUP("Limestone_Powder",Emission_Factors!$A$2:$A$13,Emission_Factors!$C$2:$C$13)+F96*_xlfn.XLOOKUP("Quartz_Powder",Emission_Factors!$A$2:$A$13,Emission_Factors!$C$2:$C$13)+G96*_xlfn.XLOOKUP("Fly_Ash",Emission_Factors!$A$2:$A$13,Emission_Factors!$C$2:$C$13)+H96*_xlfn.XLOOKUP("Nano_Silica",Emission_Factors!$A$2:$A$13,Emission_Factors!$C$2:$C$13)+I96*_xlfn.XLOOKUP("Aggregate",Emission_Factors!$A$2:$A$13,Emission_Factors!$C$2:$C$13)+J96*_xlfn.XLOOKUP("Water",Emission_Factors!$A$2:$A$13,Emission_Factors!$C$2:$C$13)+K96*_xlfn.XLOOKUP("Fiber_Virgin",Emission_Factors!$A$2:$A$13,Emission_Factors!$C$2:$C$13)+L96*_xlfn.XLOOKUP("Superplasticizer",Emission_Factors!$A$2:$A$13,Emission_Factors!$C$2:$C$13)</f>
        <v>826.91188799999998</v>
      </c>
      <c r="S96" s="4">
        <f>B96*_xlfn.XLOOKUP("Cement",Emission_Factors!$A$2:$A$13,Emission_Factors!$C$2:$C$13)+C96*_xlfn.XLOOKUP("Slag",Emission_Factors!$A$2:$A$13,Emission_Factors!$C$2:$C$13)+D96*_xlfn.XLOOKUP("Silica_Fume",Emission_Factors!$A$2:$A$13,Emission_Factors!$C$2:$C$13)+E96*_xlfn.XLOOKUP("Limestone_Powder",Emission_Factors!$A$2:$A$13,Emission_Factors!$C$2:$C$13)+F96*_xlfn.XLOOKUP("Quartz_Powder",Emission_Factors!$A$2:$A$13,Emission_Factors!$C$2:$C$13)+G96*_xlfn.XLOOKUP("Fly_Ash",Emission_Factors!$A$2:$A$13,Emission_Factors!$C$2:$C$13)+H96*_xlfn.XLOOKUP("Nano_Silica",Emission_Factors!$A$2:$A$13,Emission_Factors!$C$2:$C$13)+I96*_xlfn.XLOOKUP("Aggregate",Emission_Factors!$A$2:$A$13,Emission_Factors!$C$2:$C$13)+J96*_xlfn.XLOOKUP("Water",Emission_Factors!$A$2:$A$13,Emission_Factors!$C$2:$C$13)+K96*_xlfn.XLOOKUP("Fiber_Recycled",Emission_Factors!$A$2:$A$13,Emission_Factors!$C$2:$C$13)+L96*_xlfn.XLOOKUP("Superplasticizer",Emission_Factors!$A$2:$A$13,Emission_Factors!$C$2:$C$13)</f>
        <v>577.31188799999995</v>
      </c>
    </row>
    <row r="97" spans="1:19" x14ac:dyDescent="0.25">
      <c r="A97">
        <v>459</v>
      </c>
      <c r="B97">
        <v>801</v>
      </c>
      <c r="C97">
        <v>0</v>
      </c>
      <c r="D97">
        <v>89</v>
      </c>
      <c r="E97">
        <v>0</v>
      </c>
      <c r="F97">
        <v>0</v>
      </c>
      <c r="G97">
        <v>0</v>
      </c>
      <c r="H97">
        <v>0</v>
      </c>
      <c r="I97">
        <v>1231</v>
      </c>
      <c r="J97">
        <v>178</v>
      </c>
      <c r="K97">
        <v>0</v>
      </c>
      <c r="L97">
        <v>30.2</v>
      </c>
      <c r="M97">
        <v>21</v>
      </c>
      <c r="N97">
        <v>90</v>
      </c>
      <c r="O97">
        <v>127.6</v>
      </c>
      <c r="P97">
        <v>129.26589999999999</v>
      </c>
      <c r="Q97">
        <v>-1.6658996580000001</v>
      </c>
      <c r="R97" s="4">
        <f>B97*_xlfn.XLOOKUP("Cement",Emission_Factors!$A$2:$A$13,Emission_Factors!$C$2:$C$13)+C97*_xlfn.XLOOKUP("Slag",Emission_Factors!$A$2:$A$13,Emission_Factors!$C$2:$C$13)+D97*_xlfn.XLOOKUP("Silica_Fume",Emission_Factors!$A$2:$A$13,Emission_Factors!$C$2:$C$13)+E97*_xlfn.XLOOKUP("Limestone_Powder",Emission_Factors!$A$2:$A$13,Emission_Factors!$C$2:$C$13)+F97*_xlfn.XLOOKUP("Quartz_Powder",Emission_Factors!$A$2:$A$13,Emission_Factors!$C$2:$C$13)+G97*_xlfn.XLOOKUP("Fly_Ash",Emission_Factors!$A$2:$A$13,Emission_Factors!$C$2:$C$13)+H97*_xlfn.XLOOKUP("Nano_Silica",Emission_Factors!$A$2:$A$13,Emission_Factors!$C$2:$C$13)+I97*_xlfn.XLOOKUP("Aggregate",Emission_Factors!$A$2:$A$13,Emission_Factors!$C$2:$C$13)+J97*_xlfn.XLOOKUP("Water",Emission_Factors!$A$2:$A$13,Emission_Factors!$C$2:$C$13)+K97*_xlfn.XLOOKUP("Fiber_Virgin",Emission_Factors!$A$2:$A$13,Emission_Factors!$C$2:$C$13)+L97*_xlfn.XLOOKUP("Superplasticizer",Emission_Factors!$A$2:$A$13,Emission_Factors!$C$2:$C$13)</f>
        <v>700.77468799999986</v>
      </c>
      <c r="S97" s="4">
        <f>B97*_xlfn.XLOOKUP("Cement",Emission_Factors!$A$2:$A$13,Emission_Factors!$C$2:$C$13)+C97*_xlfn.XLOOKUP("Slag",Emission_Factors!$A$2:$A$13,Emission_Factors!$C$2:$C$13)+D97*_xlfn.XLOOKUP("Silica_Fume",Emission_Factors!$A$2:$A$13,Emission_Factors!$C$2:$C$13)+E97*_xlfn.XLOOKUP("Limestone_Powder",Emission_Factors!$A$2:$A$13,Emission_Factors!$C$2:$C$13)+F97*_xlfn.XLOOKUP("Quartz_Powder",Emission_Factors!$A$2:$A$13,Emission_Factors!$C$2:$C$13)+G97*_xlfn.XLOOKUP("Fly_Ash",Emission_Factors!$A$2:$A$13,Emission_Factors!$C$2:$C$13)+H97*_xlfn.XLOOKUP("Nano_Silica",Emission_Factors!$A$2:$A$13,Emission_Factors!$C$2:$C$13)+I97*_xlfn.XLOOKUP("Aggregate",Emission_Factors!$A$2:$A$13,Emission_Factors!$C$2:$C$13)+J97*_xlfn.XLOOKUP("Water",Emission_Factors!$A$2:$A$13,Emission_Factors!$C$2:$C$13)+K97*_xlfn.XLOOKUP("Fiber_Recycled",Emission_Factors!$A$2:$A$13,Emission_Factors!$C$2:$C$13)+L97*_xlfn.XLOOKUP("Superplasticizer",Emission_Factors!$A$2:$A$13,Emission_Factors!$C$2:$C$13)</f>
        <v>700.77468799999986</v>
      </c>
    </row>
    <row r="98" spans="1:19" x14ac:dyDescent="0.25">
      <c r="A98">
        <v>466</v>
      </c>
      <c r="B98">
        <v>720</v>
      </c>
      <c r="C98">
        <v>0</v>
      </c>
      <c r="D98">
        <v>180</v>
      </c>
      <c r="E98">
        <v>0</v>
      </c>
      <c r="F98">
        <v>0</v>
      </c>
      <c r="G98">
        <v>0</v>
      </c>
      <c r="H98">
        <v>0</v>
      </c>
      <c r="I98">
        <v>1353.6</v>
      </c>
      <c r="J98">
        <v>162</v>
      </c>
      <c r="K98">
        <v>0</v>
      </c>
      <c r="L98">
        <v>10.8</v>
      </c>
      <c r="M98">
        <v>23</v>
      </c>
      <c r="N98">
        <v>28</v>
      </c>
      <c r="O98">
        <v>128.19999999999999</v>
      </c>
      <c r="P98">
        <v>117.39737</v>
      </c>
      <c r="Q98">
        <v>10.80263062</v>
      </c>
      <c r="R98" s="4">
        <f>B98*_xlfn.XLOOKUP("Cement",Emission_Factors!$A$2:$A$13,Emission_Factors!$C$2:$C$13)+C98*_xlfn.XLOOKUP("Slag",Emission_Factors!$A$2:$A$13,Emission_Factors!$C$2:$C$13)+D98*_xlfn.XLOOKUP("Silica_Fume",Emission_Factors!$A$2:$A$13,Emission_Factors!$C$2:$C$13)+E98*_xlfn.XLOOKUP("Limestone_Powder",Emission_Factors!$A$2:$A$13,Emission_Factors!$C$2:$C$13)+F98*_xlfn.XLOOKUP("Quartz_Powder",Emission_Factors!$A$2:$A$13,Emission_Factors!$C$2:$C$13)+G98*_xlfn.XLOOKUP("Fly_Ash",Emission_Factors!$A$2:$A$13,Emission_Factors!$C$2:$C$13)+H98*_xlfn.XLOOKUP("Nano_Silica",Emission_Factors!$A$2:$A$13,Emission_Factors!$C$2:$C$13)+I98*_xlfn.XLOOKUP("Aggregate",Emission_Factors!$A$2:$A$13,Emission_Factors!$C$2:$C$13)+J98*_xlfn.XLOOKUP("Water",Emission_Factors!$A$2:$A$13,Emission_Factors!$C$2:$C$13)+K98*_xlfn.XLOOKUP("Fiber_Virgin",Emission_Factors!$A$2:$A$13,Emission_Factors!$C$2:$C$13)+L98*_xlfn.XLOOKUP("Superplasticizer",Emission_Factors!$A$2:$A$13,Emission_Factors!$C$2:$C$13)</f>
        <v>617.11495200000002</v>
      </c>
      <c r="S98" s="4">
        <f>B98*_xlfn.XLOOKUP("Cement",Emission_Factors!$A$2:$A$13,Emission_Factors!$C$2:$C$13)+C98*_xlfn.XLOOKUP("Slag",Emission_Factors!$A$2:$A$13,Emission_Factors!$C$2:$C$13)+D98*_xlfn.XLOOKUP("Silica_Fume",Emission_Factors!$A$2:$A$13,Emission_Factors!$C$2:$C$13)+E98*_xlfn.XLOOKUP("Limestone_Powder",Emission_Factors!$A$2:$A$13,Emission_Factors!$C$2:$C$13)+F98*_xlfn.XLOOKUP("Quartz_Powder",Emission_Factors!$A$2:$A$13,Emission_Factors!$C$2:$C$13)+G98*_xlfn.XLOOKUP("Fly_Ash",Emission_Factors!$A$2:$A$13,Emission_Factors!$C$2:$C$13)+H98*_xlfn.XLOOKUP("Nano_Silica",Emission_Factors!$A$2:$A$13,Emission_Factors!$C$2:$C$13)+I98*_xlfn.XLOOKUP("Aggregate",Emission_Factors!$A$2:$A$13,Emission_Factors!$C$2:$C$13)+J98*_xlfn.XLOOKUP("Water",Emission_Factors!$A$2:$A$13,Emission_Factors!$C$2:$C$13)+K98*_xlfn.XLOOKUP("Fiber_Recycled",Emission_Factors!$A$2:$A$13,Emission_Factors!$C$2:$C$13)+L98*_xlfn.XLOOKUP("Superplasticizer",Emission_Factors!$A$2:$A$13,Emission_Factors!$C$2:$C$13)</f>
        <v>617.11495200000002</v>
      </c>
    </row>
    <row r="99" spans="1:19" x14ac:dyDescent="0.25">
      <c r="A99">
        <v>471</v>
      </c>
      <c r="B99">
        <v>960</v>
      </c>
      <c r="C99">
        <v>0</v>
      </c>
      <c r="D99">
        <v>240</v>
      </c>
      <c r="E99">
        <v>0</v>
      </c>
      <c r="F99">
        <v>0</v>
      </c>
      <c r="G99">
        <v>0</v>
      </c>
      <c r="H99">
        <v>0</v>
      </c>
      <c r="I99">
        <v>754</v>
      </c>
      <c r="J99">
        <v>234</v>
      </c>
      <c r="K99">
        <v>117</v>
      </c>
      <c r="L99">
        <v>45</v>
      </c>
      <c r="M99">
        <v>23</v>
      </c>
      <c r="N99">
        <v>7</v>
      </c>
      <c r="O99">
        <v>129.19999999999999</v>
      </c>
      <c r="P99">
        <v>131.84039999999999</v>
      </c>
      <c r="Q99">
        <v>-2.6403930660000001</v>
      </c>
      <c r="R99" s="4">
        <f>B99*_xlfn.XLOOKUP("Cement",Emission_Factors!$A$2:$A$13,Emission_Factors!$C$2:$C$13)+C99*_xlfn.XLOOKUP("Slag",Emission_Factors!$A$2:$A$13,Emission_Factors!$C$2:$C$13)+D99*_xlfn.XLOOKUP("Silica_Fume",Emission_Factors!$A$2:$A$13,Emission_Factors!$C$2:$C$13)+E99*_xlfn.XLOOKUP("Limestone_Powder",Emission_Factors!$A$2:$A$13,Emission_Factors!$C$2:$C$13)+F99*_xlfn.XLOOKUP("Quartz_Powder",Emission_Factors!$A$2:$A$13,Emission_Factors!$C$2:$C$13)+G99*_xlfn.XLOOKUP("Fly_Ash",Emission_Factors!$A$2:$A$13,Emission_Factors!$C$2:$C$13)+H99*_xlfn.XLOOKUP("Nano_Silica",Emission_Factors!$A$2:$A$13,Emission_Factors!$C$2:$C$13)+I99*_xlfn.XLOOKUP("Aggregate",Emission_Factors!$A$2:$A$13,Emission_Factors!$C$2:$C$13)+J99*_xlfn.XLOOKUP("Water",Emission_Factors!$A$2:$A$13,Emission_Factors!$C$2:$C$13)+K99*_xlfn.XLOOKUP("Fiber_Virgin",Emission_Factors!$A$2:$A$13,Emission_Factors!$C$2:$C$13)+L99*_xlfn.XLOOKUP("Superplasticizer",Emission_Factors!$A$2:$A$13,Emission_Factors!$C$2:$C$13)</f>
        <v>1138.955864</v>
      </c>
      <c r="S99" s="4">
        <f>B99*_xlfn.XLOOKUP("Cement",Emission_Factors!$A$2:$A$13,Emission_Factors!$C$2:$C$13)+C99*_xlfn.XLOOKUP("Slag",Emission_Factors!$A$2:$A$13,Emission_Factors!$C$2:$C$13)+D99*_xlfn.XLOOKUP("Silica_Fume",Emission_Factors!$A$2:$A$13,Emission_Factors!$C$2:$C$13)+E99*_xlfn.XLOOKUP("Limestone_Powder",Emission_Factors!$A$2:$A$13,Emission_Factors!$C$2:$C$13)+F99*_xlfn.XLOOKUP("Quartz_Powder",Emission_Factors!$A$2:$A$13,Emission_Factors!$C$2:$C$13)+G99*_xlfn.XLOOKUP("Fly_Ash",Emission_Factors!$A$2:$A$13,Emission_Factors!$C$2:$C$13)+H99*_xlfn.XLOOKUP("Nano_Silica",Emission_Factors!$A$2:$A$13,Emission_Factors!$C$2:$C$13)+I99*_xlfn.XLOOKUP("Aggregate",Emission_Factors!$A$2:$A$13,Emission_Factors!$C$2:$C$13)+J99*_xlfn.XLOOKUP("Water",Emission_Factors!$A$2:$A$13,Emission_Factors!$C$2:$C$13)+K99*_xlfn.XLOOKUP("Fiber_Recycled",Emission_Factors!$A$2:$A$13,Emission_Factors!$C$2:$C$13)+L99*_xlfn.XLOOKUP("Superplasticizer",Emission_Factors!$A$2:$A$13,Emission_Factors!$C$2:$C$13)</f>
        <v>951.75586399999997</v>
      </c>
    </row>
    <row r="100" spans="1:19" x14ac:dyDescent="0.25">
      <c r="A100">
        <v>474</v>
      </c>
      <c r="B100">
        <v>594.20000000000005</v>
      </c>
      <c r="C100">
        <v>0</v>
      </c>
      <c r="D100">
        <v>0</v>
      </c>
      <c r="E100">
        <v>265.3</v>
      </c>
      <c r="F100">
        <v>0</v>
      </c>
      <c r="G100">
        <v>0</v>
      </c>
      <c r="H100">
        <v>24.8</v>
      </c>
      <c r="I100">
        <v>1282.3</v>
      </c>
      <c r="J100">
        <v>176.9</v>
      </c>
      <c r="K100">
        <v>156</v>
      </c>
      <c r="L100">
        <v>44.2</v>
      </c>
      <c r="M100">
        <v>21</v>
      </c>
      <c r="N100">
        <v>28</v>
      </c>
      <c r="O100">
        <v>129.58000000000001</v>
      </c>
      <c r="P100">
        <v>133.52332999999999</v>
      </c>
      <c r="Q100">
        <v>-3.9433306880000001</v>
      </c>
      <c r="R100" s="4">
        <f>B100*_xlfn.XLOOKUP("Cement",Emission_Factors!$A$2:$A$13,Emission_Factors!$C$2:$C$13)+C100*_xlfn.XLOOKUP("Slag",Emission_Factors!$A$2:$A$13,Emission_Factors!$C$2:$C$13)+D100*_xlfn.XLOOKUP("Silica_Fume",Emission_Factors!$A$2:$A$13,Emission_Factors!$C$2:$C$13)+E100*_xlfn.XLOOKUP("Limestone_Powder",Emission_Factors!$A$2:$A$13,Emission_Factors!$C$2:$C$13)+F100*_xlfn.XLOOKUP("Quartz_Powder",Emission_Factors!$A$2:$A$13,Emission_Factors!$C$2:$C$13)+G100*_xlfn.XLOOKUP("Fly_Ash",Emission_Factors!$A$2:$A$13,Emission_Factors!$C$2:$C$13)+H100*_xlfn.XLOOKUP("Nano_Silica",Emission_Factors!$A$2:$A$13,Emission_Factors!$C$2:$C$13)+I100*_xlfn.XLOOKUP("Aggregate",Emission_Factors!$A$2:$A$13,Emission_Factors!$C$2:$C$13)+J100*_xlfn.XLOOKUP("Water",Emission_Factors!$A$2:$A$13,Emission_Factors!$C$2:$C$13)+K100*_xlfn.XLOOKUP("Fiber_Virgin",Emission_Factors!$A$2:$A$13,Emission_Factors!$C$2:$C$13)+L100*_xlfn.XLOOKUP("Superplasticizer",Emission_Factors!$A$2:$A$13,Emission_Factors!$C$2:$C$13)</f>
        <v>973.06707240000003</v>
      </c>
      <c r="S100" s="4">
        <f>B100*_xlfn.XLOOKUP("Cement",Emission_Factors!$A$2:$A$13,Emission_Factors!$C$2:$C$13)+C100*_xlfn.XLOOKUP("Slag",Emission_Factors!$A$2:$A$13,Emission_Factors!$C$2:$C$13)+D100*_xlfn.XLOOKUP("Silica_Fume",Emission_Factors!$A$2:$A$13,Emission_Factors!$C$2:$C$13)+E100*_xlfn.XLOOKUP("Limestone_Powder",Emission_Factors!$A$2:$A$13,Emission_Factors!$C$2:$C$13)+F100*_xlfn.XLOOKUP("Quartz_Powder",Emission_Factors!$A$2:$A$13,Emission_Factors!$C$2:$C$13)+G100*_xlfn.XLOOKUP("Fly_Ash",Emission_Factors!$A$2:$A$13,Emission_Factors!$C$2:$C$13)+H100*_xlfn.XLOOKUP("Nano_Silica",Emission_Factors!$A$2:$A$13,Emission_Factors!$C$2:$C$13)+I100*_xlfn.XLOOKUP("Aggregate",Emission_Factors!$A$2:$A$13,Emission_Factors!$C$2:$C$13)+J100*_xlfn.XLOOKUP("Water",Emission_Factors!$A$2:$A$13,Emission_Factors!$C$2:$C$13)+K100*_xlfn.XLOOKUP("Fiber_Recycled",Emission_Factors!$A$2:$A$13,Emission_Factors!$C$2:$C$13)+L100*_xlfn.XLOOKUP("Superplasticizer",Emission_Factors!$A$2:$A$13,Emission_Factors!$C$2:$C$13)</f>
        <v>723.46707240000001</v>
      </c>
    </row>
    <row r="101" spans="1:19" x14ac:dyDescent="0.25">
      <c r="A101">
        <v>475</v>
      </c>
      <c r="B101">
        <v>852</v>
      </c>
      <c r="C101">
        <v>0</v>
      </c>
      <c r="D101">
        <v>216</v>
      </c>
      <c r="E101">
        <v>0</v>
      </c>
      <c r="F101">
        <v>0</v>
      </c>
      <c r="G101">
        <v>0</v>
      </c>
      <c r="H101">
        <v>10.8</v>
      </c>
      <c r="I101">
        <v>1079</v>
      </c>
      <c r="J101">
        <v>177</v>
      </c>
      <c r="K101">
        <v>0</v>
      </c>
      <c r="L101">
        <v>21.6</v>
      </c>
      <c r="M101">
        <v>23</v>
      </c>
      <c r="N101">
        <v>28</v>
      </c>
      <c r="O101">
        <v>129.79</v>
      </c>
      <c r="P101">
        <v>116.84017</v>
      </c>
      <c r="Q101">
        <v>12.94982819</v>
      </c>
      <c r="R101" s="4">
        <f>B101*_xlfn.XLOOKUP("Cement",Emission_Factors!$A$2:$A$13,Emission_Factors!$C$2:$C$13)+C101*_xlfn.XLOOKUP("Slag",Emission_Factors!$A$2:$A$13,Emission_Factors!$C$2:$C$13)+D101*_xlfn.XLOOKUP("Silica_Fume",Emission_Factors!$A$2:$A$13,Emission_Factors!$C$2:$C$13)+E101*_xlfn.XLOOKUP("Limestone_Powder",Emission_Factors!$A$2:$A$13,Emission_Factors!$C$2:$C$13)+F101*_xlfn.XLOOKUP("Quartz_Powder",Emission_Factors!$A$2:$A$13,Emission_Factors!$C$2:$C$13)+G101*_xlfn.XLOOKUP("Fly_Ash",Emission_Factors!$A$2:$A$13,Emission_Factors!$C$2:$C$13)+H101*_xlfn.XLOOKUP("Nano_Silica",Emission_Factors!$A$2:$A$13,Emission_Factors!$C$2:$C$13)+I101*_xlfn.XLOOKUP("Aggregate",Emission_Factors!$A$2:$A$13,Emission_Factors!$C$2:$C$13)+J101*_xlfn.XLOOKUP("Water",Emission_Factors!$A$2:$A$13,Emission_Factors!$C$2:$C$13)+K101*_xlfn.XLOOKUP("Fiber_Virgin",Emission_Factors!$A$2:$A$13,Emission_Factors!$C$2:$C$13)+L101*_xlfn.XLOOKUP("Superplasticizer",Emission_Factors!$A$2:$A$13,Emission_Factors!$C$2:$C$13)</f>
        <v>752.20409199999995</v>
      </c>
      <c r="S101" s="4">
        <f>B101*_xlfn.XLOOKUP("Cement",Emission_Factors!$A$2:$A$13,Emission_Factors!$C$2:$C$13)+C101*_xlfn.XLOOKUP("Slag",Emission_Factors!$A$2:$A$13,Emission_Factors!$C$2:$C$13)+D101*_xlfn.XLOOKUP("Silica_Fume",Emission_Factors!$A$2:$A$13,Emission_Factors!$C$2:$C$13)+E101*_xlfn.XLOOKUP("Limestone_Powder",Emission_Factors!$A$2:$A$13,Emission_Factors!$C$2:$C$13)+F101*_xlfn.XLOOKUP("Quartz_Powder",Emission_Factors!$A$2:$A$13,Emission_Factors!$C$2:$C$13)+G101*_xlfn.XLOOKUP("Fly_Ash",Emission_Factors!$A$2:$A$13,Emission_Factors!$C$2:$C$13)+H101*_xlfn.XLOOKUP("Nano_Silica",Emission_Factors!$A$2:$A$13,Emission_Factors!$C$2:$C$13)+I101*_xlfn.XLOOKUP("Aggregate",Emission_Factors!$A$2:$A$13,Emission_Factors!$C$2:$C$13)+J101*_xlfn.XLOOKUP("Water",Emission_Factors!$A$2:$A$13,Emission_Factors!$C$2:$C$13)+K101*_xlfn.XLOOKUP("Fiber_Recycled",Emission_Factors!$A$2:$A$13,Emission_Factors!$C$2:$C$13)+L101*_xlfn.XLOOKUP("Superplasticizer",Emission_Factors!$A$2:$A$13,Emission_Factors!$C$2:$C$13)</f>
        <v>752.20409199999995</v>
      </c>
    </row>
    <row r="102" spans="1:19" x14ac:dyDescent="0.25">
      <c r="A102">
        <v>476</v>
      </c>
      <c r="B102">
        <v>496.1</v>
      </c>
      <c r="C102">
        <v>124</v>
      </c>
      <c r="D102">
        <v>114.2</v>
      </c>
      <c r="E102">
        <v>0</v>
      </c>
      <c r="F102">
        <v>0</v>
      </c>
      <c r="G102">
        <v>164.9</v>
      </c>
      <c r="H102">
        <v>0</v>
      </c>
      <c r="I102">
        <v>1275.9000000000001</v>
      </c>
      <c r="J102">
        <v>161.9</v>
      </c>
      <c r="K102">
        <v>156</v>
      </c>
      <c r="L102">
        <v>36</v>
      </c>
      <c r="M102">
        <v>20</v>
      </c>
      <c r="N102">
        <v>7</v>
      </c>
      <c r="O102">
        <v>129.80000000000001</v>
      </c>
      <c r="P102">
        <v>135.3862</v>
      </c>
      <c r="Q102">
        <v>-5.5861999510000002</v>
      </c>
      <c r="R102" s="4">
        <f>B102*_xlfn.XLOOKUP("Cement",Emission_Factors!$A$2:$A$13,Emission_Factors!$C$2:$C$13)+C102*_xlfn.XLOOKUP("Slag",Emission_Factors!$A$2:$A$13,Emission_Factors!$C$2:$C$13)+D102*_xlfn.XLOOKUP("Silica_Fume",Emission_Factors!$A$2:$A$13,Emission_Factors!$C$2:$C$13)+E102*_xlfn.XLOOKUP("Limestone_Powder",Emission_Factors!$A$2:$A$13,Emission_Factors!$C$2:$C$13)+F102*_xlfn.XLOOKUP("Quartz_Powder",Emission_Factors!$A$2:$A$13,Emission_Factors!$C$2:$C$13)+G102*_xlfn.XLOOKUP("Fly_Ash",Emission_Factors!$A$2:$A$13,Emission_Factors!$C$2:$C$13)+H102*_xlfn.XLOOKUP("Nano_Silica",Emission_Factors!$A$2:$A$13,Emission_Factors!$C$2:$C$13)+I102*_xlfn.XLOOKUP("Aggregate",Emission_Factors!$A$2:$A$13,Emission_Factors!$C$2:$C$13)+J102*_xlfn.XLOOKUP("Water",Emission_Factors!$A$2:$A$13,Emission_Factors!$C$2:$C$13)+K102*_xlfn.XLOOKUP("Fiber_Virgin",Emission_Factors!$A$2:$A$13,Emission_Factors!$C$2:$C$13)+L102*_xlfn.XLOOKUP("Superplasticizer",Emission_Factors!$A$2:$A$13,Emission_Factors!$C$2:$C$13)</f>
        <v>851.68913239999995</v>
      </c>
      <c r="S102" s="4">
        <f>B102*_xlfn.XLOOKUP("Cement",Emission_Factors!$A$2:$A$13,Emission_Factors!$C$2:$C$13)+C102*_xlfn.XLOOKUP("Slag",Emission_Factors!$A$2:$A$13,Emission_Factors!$C$2:$C$13)+D102*_xlfn.XLOOKUP("Silica_Fume",Emission_Factors!$A$2:$A$13,Emission_Factors!$C$2:$C$13)+E102*_xlfn.XLOOKUP("Limestone_Powder",Emission_Factors!$A$2:$A$13,Emission_Factors!$C$2:$C$13)+F102*_xlfn.XLOOKUP("Quartz_Powder",Emission_Factors!$A$2:$A$13,Emission_Factors!$C$2:$C$13)+G102*_xlfn.XLOOKUP("Fly_Ash",Emission_Factors!$A$2:$A$13,Emission_Factors!$C$2:$C$13)+H102*_xlfn.XLOOKUP("Nano_Silica",Emission_Factors!$A$2:$A$13,Emission_Factors!$C$2:$C$13)+I102*_xlfn.XLOOKUP("Aggregate",Emission_Factors!$A$2:$A$13,Emission_Factors!$C$2:$C$13)+J102*_xlfn.XLOOKUP("Water",Emission_Factors!$A$2:$A$13,Emission_Factors!$C$2:$C$13)+K102*_xlfn.XLOOKUP("Fiber_Recycled",Emission_Factors!$A$2:$A$13,Emission_Factors!$C$2:$C$13)+L102*_xlfn.XLOOKUP("Superplasticizer",Emission_Factors!$A$2:$A$13,Emission_Factors!$C$2:$C$13)</f>
        <v>602.08913240000004</v>
      </c>
    </row>
    <row r="103" spans="1:19" x14ac:dyDescent="0.25">
      <c r="A103">
        <v>484</v>
      </c>
      <c r="B103">
        <v>890</v>
      </c>
      <c r="C103">
        <v>0</v>
      </c>
      <c r="D103">
        <v>222</v>
      </c>
      <c r="E103">
        <v>0</v>
      </c>
      <c r="F103">
        <v>0</v>
      </c>
      <c r="G103">
        <v>0</v>
      </c>
      <c r="H103">
        <v>0</v>
      </c>
      <c r="I103">
        <v>799</v>
      </c>
      <c r="J103">
        <v>222</v>
      </c>
      <c r="K103">
        <v>117</v>
      </c>
      <c r="L103">
        <v>29.7</v>
      </c>
      <c r="M103">
        <v>23</v>
      </c>
      <c r="N103">
        <v>28</v>
      </c>
      <c r="O103">
        <v>130.30000000000001</v>
      </c>
      <c r="P103">
        <v>156.88834</v>
      </c>
      <c r="Q103">
        <v>-26.588336179999999</v>
      </c>
      <c r="R103" s="4">
        <f>B103*_xlfn.XLOOKUP("Cement",Emission_Factors!$A$2:$A$13,Emission_Factors!$C$2:$C$13)+C103*_xlfn.XLOOKUP("Slag",Emission_Factors!$A$2:$A$13,Emission_Factors!$C$2:$C$13)+D103*_xlfn.XLOOKUP("Silica_Fume",Emission_Factors!$A$2:$A$13,Emission_Factors!$C$2:$C$13)+E103*_xlfn.XLOOKUP("Limestone_Powder",Emission_Factors!$A$2:$A$13,Emission_Factors!$C$2:$C$13)+F103*_xlfn.XLOOKUP("Quartz_Powder",Emission_Factors!$A$2:$A$13,Emission_Factors!$C$2:$C$13)+G103*_xlfn.XLOOKUP("Fly_Ash",Emission_Factors!$A$2:$A$13,Emission_Factors!$C$2:$C$13)+H103*_xlfn.XLOOKUP("Nano_Silica",Emission_Factors!$A$2:$A$13,Emission_Factors!$C$2:$C$13)+I103*_xlfn.XLOOKUP("Aggregate",Emission_Factors!$A$2:$A$13,Emission_Factors!$C$2:$C$13)+J103*_xlfn.XLOOKUP("Water",Emission_Factors!$A$2:$A$13,Emission_Factors!$C$2:$C$13)+K103*_xlfn.XLOOKUP("Fiber_Virgin",Emission_Factors!$A$2:$A$13,Emission_Factors!$C$2:$C$13)+L103*_xlfn.XLOOKUP("Superplasticizer",Emission_Factors!$A$2:$A$13,Emission_Factors!$C$2:$C$13)</f>
        <v>1066.3833119999999</v>
      </c>
      <c r="S103" s="4">
        <f>B103*_xlfn.XLOOKUP("Cement",Emission_Factors!$A$2:$A$13,Emission_Factors!$C$2:$C$13)+C103*_xlfn.XLOOKUP("Slag",Emission_Factors!$A$2:$A$13,Emission_Factors!$C$2:$C$13)+D103*_xlfn.XLOOKUP("Silica_Fume",Emission_Factors!$A$2:$A$13,Emission_Factors!$C$2:$C$13)+E103*_xlfn.XLOOKUP("Limestone_Powder",Emission_Factors!$A$2:$A$13,Emission_Factors!$C$2:$C$13)+F103*_xlfn.XLOOKUP("Quartz_Powder",Emission_Factors!$A$2:$A$13,Emission_Factors!$C$2:$C$13)+G103*_xlfn.XLOOKUP("Fly_Ash",Emission_Factors!$A$2:$A$13,Emission_Factors!$C$2:$C$13)+H103*_xlfn.XLOOKUP("Nano_Silica",Emission_Factors!$A$2:$A$13,Emission_Factors!$C$2:$C$13)+I103*_xlfn.XLOOKUP("Aggregate",Emission_Factors!$A$2:$A$13,Emission_Factors!$C$2:$C$13)+J103*_xlfn.XLOOKUP("Water",Emission_Factors!$A$2:$A$13,Emission_Factors!$C$2:$C$13)+K103*_xlfn.XLOOKUP("Fiber_Recycled",Emission_Factors!$A$2:$A$13,Emission_Factors!$C$2:$C$13)+L103*_xlfn.XLOOKUP("Superplasticizer",Emission_Factors!$A$2:$A$13,Emission_Factors!$C$2:$C$13)</f>
        <v>879.18331199999977</v>
      </c>
    </row>
    <row r="104" spans="1:19" x14ac:dyDescent="0.25">
      <c r="A104">
        <v>491</v>
      </c>
      <c r="B104">
        <v>450</v>
      </c>
      <c r="C104">
        <v>0</v>
      </c>
      <c r="D104">
        <v>50</v>
      </c>
      <c r="E104">
        <v>0</v>
      </c>
      <c r="F104">
        <v>0</v>
      </c>
      <c r="G104">
        <v>0</v>
      </c>
      <c r="H104">
        <v>0</v>
      </c>
      <c r="I104">
        <v>1992</v>
      </c>
      <c r="J104">
        <v>90</v>
      </c>
      <c r="K104">
        <v>0</v>
      </c>
      <c r="L104">
        <v>18</v>
      </c>
      <c r="M104">
        <v>20</v>
      </c>
      <c r="N104">
        <v>28</v>
      </c>
      <c r="O104">
        <v>131</v>
      </c>
      <c r="P104">
        <v>129.38884999999999</v>
      </c>
      <c r="Q104">
        <v>1.6111450199999999</v>
      </c>
      <c r="R104" s="4">
        <f>B104*_xlfn.XLOOKUP("Cement",Emission_Factors!$A$2:$A$13,Emission_Factors!$C$2:$C$13)+C104*_xlfn.XLOOKUP("Slag",Emission_Factors!$A$2:$A$13,Emission_Factors!$C$2:$C$13)+D104*_xlfn.XLOOKUP("Silica_Fume",Emission_Factors!$A$2:$A$13,Emission_Factors!$C$2:$C$13)+E104*_xlfn.XLOOKUP("Limestone_Powder",Emission_Factors!$A$2:$A$13,Emission_Factors!$C$2:$C$13)+F104*_xlfn.XLOOKUP("Quartz_Powder",Emission_Factors!$A$2:$A$13,Emission_Factors!$C$2:$C$13)+G104*_xlfn.XLOOKUP("Fly_Ash",Emission_Factors!$A$2:$A$13,Emission_Factors!$C$2:$C$13)+H104*_xlfn.XLOOKUP("Nano_Silica",Emission_Factors!$A$2:$A$13,Emission_Factors!$C$2:$C$13)+I104*_xlfn.XLOOKUP("Aggregate",Emission_Factors!$A$2:$A$13,Emission_Factors!$C$2:$C$13)+J104*_xlfn.XLOOKUP("Water",Emission_Factors!$A$2:$A$13,Emission_Factors!$C$2:$C$13)+K104*_xlfn.XLOOKUP("Fiber_Virgin",Emission_Factors!$A$2:$A$13,Emission_Factors!$C$2:$C$13)+L104*_xlfn.XLOOKUP("Superplasticizer",Emission_Factors!$A$2:$A$13,Emission_Factors!$C$2:$C$13)</f>
        <v>401.16963999999996</v>
      </c>
      <c r="S104" s="4">
        <f>B104*_xlfn.XLOOKUP("Cement",Emission_Factors!$A$2:$A$13,Emission_Factors!$C$2:$C$13)+C104*_xlfn.XLOOKUP("Slag",Emission_Factors!$A$2:$A$13,Emission_Factors!$C$2:$C$13)+D104*_xlfn.XLOOKUP("Silica_Fume",Emission_Factors!$A$2:$A$13,Emission_Factors!$C$2:$C$13)+E104*_xlfn.XLOOKUP("Limestone_Powder",Emission_Factors!$A$2:$A$13,Emission_Factors!$C$2:$C$13)+F104*_xlfn.XLOOKUP("Quartz_Powder",Emission_Factors!$A$2:$A$13,Emission_Factors!$C$2:$C$13)+G104*_xlfn.XLOOKUP("Fly_Ash",Emission_Factors!$A$2:$A$13,Emission_Factors!$C$2:$C$13)+H104*_xlfn.XLOOKUP("Nano_Silica",Emission_Factors!$A$2:$A$13,Emission_Factors!$C$2:$C$13)+I104*_xlfn.XLOOKUP("Aggregate",Emission_Factors!$A$2:$A$13,Emission_Factors!$C$2:$C$13)+J104*_xlfn.XLOOKUP("Water",Emission_Factors!$A$2:$A$13,Emission_Factors!$C$2:$C$13)+K104*_xlfn.XLOOKUP("Fiber_Recycled",Emission_Factors!$A$2:$A$13,Emission_Factors!$C$2:$C$13)+L104*_xlfn.XLOOKUP("Superplasticizer",Emission_Factors!$A$2:$A$13,Emission_Factors!$C$2:$C$13)</f>
        <v>401.16963999999996</v>
      </c>
    </row>
    <row r="105" spans="1:19" x14ac:dyDescent="0.25">
      <c r="A105">
        <v>492</v>
      </c>
      <c r="B105">
        <v>946</v>
      </c>
      <c r="C105">
        <v>0</v>
      </c>
      <c r="D105">
        <v>71</v>
      </c>
      <c r="E105">
        <v>47</v>
      </c>
      <c r="F105">
        <v>0</v>
      </c>
      <c r="G105">
        <v>166</v>
      </c>
      <c r="H105">
        <v>0</v>
      </c>
      <c r="I105">
        <v>860</v>
      </c>
      <c r="J105">
        <v>166</v>
      </c>
      <c r="K105">
        <v>0</v>
      </c>
      <c r="L105">
        <v>35.76</v>
      </c>
      <c r="M105">
        <v>23</v>
      </c>
      <c r="N105">
        <v>14</v>
      </c>
      <c r="O105">
        <v>131.69</v>
      </c>
      <c r="P105">
        <v>129.21857</v>
      </c>
      <c r="Q105">
        <v>2.471433105</v>
      </c>
      <c r="R105" s="4">
        <f>B105*_xlfn.XLOOKUP("Cement",Emission_Factors!$A$2:$A$13,Emission_Factors!$C$2:$C$13)+C105*_xlfn.XLOOKUP("Slag",Emission_Factors!$A$2:$A$13,Emission_Factors!$C$2:$C$13)+D105*_xlfn.XLOOKUP("Silica_Fume",Emission_Factors!$A$2:$A$13,Emission_Factors!$C$2:$C$13)+E105*_xlfn.XLOOKUP("Limestone_Powder",Emission_Factors!$A$2:$A$13,Emission_Factors!$C$2:$C$13)+F105*_xlfn.XLOOKUP("Quartz_Powder",Emission_Factors!$A$2:$A$13,Emission_Factors!$C$2:$C$13)+G105*_xlfn.XLOOKUP("Fly_Ash",Emission_Factors!$A$2:$A$13,Emission_Factors!$C$2:$C$13)+H105*_xlfn.XLOOKUP("Nano_Silica",Emission_Factors!$A$2:$A$13,Emission_Factors!$C$2:$C$13)+I105*_xlfn.XLOOKUP("Aggregate",Emission_Factors!$A$2:$A$13,Emission_Factors!$C$2:$C$13)+J105*_xlfn.XLOOKUP("Water",Emission_Factors!$A$2:$A$13,Emission_Factors!$C$2:$C$13)+K105*_xlfn.XLOOKUP("Fiber_Virgin",Emission_Factors!$A$2:$A$13,Emission_Factors!$C$2:$C$13)+L105*_xlfn.XLOOKUP("Superplasticizer",Emission_Factors!$A$2:$A$13,Emission_Factors!$C$2:$C$13)</f>
        <v>826.55697599999996</v>
      </c>
      <c r="S105" s="4">
        <f>B105*_xlfn.XLOOKUP("Cement",Emission_Factors!$A$2:$A$13,Emission_Factors!$C$2:$C$13)+C105*_xlfn.XLOOKUP("Slag",Emission_Factors!$A$2:$A$13,Emission_Factors!$C$2:$C$13)+D105*_xlfn.XLOOKUP("Silica_Fume",Emission_Factors!$A$2:$A$13,Emission_Factors!$C$2:$C$13)+E105*_xlfn.XLOOKUP("Limestone_Powder",Emission_Factors!$A$2:$A$13,Emission_Factors!$C$2:$C$13)+F105*_xlfn.XLOOKUP("Quartz_Powder",Emission_Factors!$A$2:$A$13,Emission_Factors!$C$2:$C$13)+G105*_xlfn.XLOOKUP("Fly_Ash",Emission_Factors!$A$2:$A$13,Emission_Factors!$C$2:$C$13)+H105*_xlfn.XLOOKUP("Nano_Silica",Emission_Factors!$A$2:$A$13,Emission_Factors!$C$2:$C$13)+I105*_xlfn.XLOOKUP("Aggregate",Emission_Factors!$A$2:$A$13,Emission_Factors!$C$2:$C$13)+J105*_xlfn.XLOOKUP("Water",Emission_Factors!$A$2:$A$13,Emission_Factors!$C$2:$C$13)+K105*_xlfn.XLOOKUP("Fiber_Recycled",Emission_Factors!$A$2:$A$13,Emission_Factors!$C$2:$C$13)+L105*_xlfn.XLOOKUP("Superplasticizer",Emission_Factors!$A$2:$A$13,Emission_Factors!$C$2:$C$13)</f>
        <v>826.55697599999996</v>
      </c>
    </row>
    <row r="106" spans="1:19" x14ac:dyDescent="0.25">
      <c r="A106">
        <v>504</v>
      </c>
      <c r="B106">
        <v>450</v>
      </c>
      <c r="C106">
        <v>360</v>
      </c>
      <c r="D106">
        <v>90</v>
      </c>
      <c r="E106">
        <v>0</v>
      </c>
      <c r="F106">
        <v>0</v>
      </c>
      <c r="G106">
        <v>0</v>
      </c>
      <c r="H106">
        <v>0</v>
      </c>
      <c r="I106">
        <v>1539</v>
      </c>
      <c r="J106">
        <v>162</v>
      </c>
      <c r="K106">
        <v>0</v>
      </c>
      <c r="L106">
        <v>18</v>
      </c>
      <c r="M106">
        <v>20</v>
      </c>
      <c r="N106">
        <v>56</v>
      </c>
      <c r="O106">
        <v>133</v>
      </c>
      <c r="P106">
        <v>141.70438999999999</v>
      </c>
      <c r="Q106">
        <v>-8.7043914789999999</v>
      </c>
      <c r="R106" s="4">
        <f>B106*_xlfn.XLOOKUP("Cement",Emission_Factors!$A$2:$A$13,Emission_Factors!$C$2:$C$13)+C106*_xlfn.XLOOKUP("Slag",Emission_Factors!$A$2:$A$13,Emission_Factors!$C$2:$C$13)+D106*_xlfn.XLOOKUP("Silica_Fume",Emission_Factors!$A$2:$A$13,Emission_Factors!$C$2:$C$13)+E106*_xlfn.XLOOKUP("Limestone_Powder",Emission_Factors!$A$2:$A$13,Emission_Factors!$C$2:$C$13)+F106*_xlfn.XLOOKUP("Quartz_Powder",Emission_Factors!$A$2:$A$13,Emission_Factors!$C$2:$C$13)+G106*_xlfn.XLOOKUP("Fly_Ash",Emission_Factors!$A$2:$A$13,Emission_Factors!$C$2:$C$13)+H106*_xlfn.XLOOKUP("Nano_Silica",Emission_Factors!$A$2:$A$13,Emission_Factors!$C$2:$C$13)+I106*_xlfn.XLOOKUP("Aggregate",Emission_Factors!$A$2:$A$13,Emission_Factors!$C$2:$C$13)+J106*_xlfn.XLOOKUP("Water",Emission_Factors!$A$2:$A$13,Emission_Factors!$C$2:$C$13)+K106*_xlfn.XLOOKUP("Fiber_Virgin",Emission_Factors!$A$2:$A$13,Emission_Factors!$C$2:$C$13)+L106*_xlfn.XLOOKUP("Superplasticizer",Emission_Factors!$A$2:$A$13,Emission_Factors!$C$2:$C$13)</f>
        <v>418.19875200000001</v>
      </c>
      <c r="S106" s="4">
        <f>B106*_xlfn.XLOOKUP("Cement",Emission_Factors!$A$2:$A$13,Emission_Factors!$C$2:$C$13)+C106*_xlfn.XLOOKUP("Slag",Emission_Factors!$A$2:$A$13,Emission_Factors!$C$2:$C$13)+D106*_xlfn.XLOOKUP("Silica_Fume",Emission_Factors!$A$2:$A$13,Emission_Factors!$C$2:$C$13)+E106*_xlfn.XLOOKUP("Limestone_Powder",Emission_Factors!$A$2:$A$13,Emission_Factors!$C$2:$C$13)+F106*_xlfn.XLOOKUP("Quartz_Powder",Emission_Factors!$A$2:$A$13,Emission_Factors!$C$2:$C$13)+G106*_xlfn.XLOOKUP("Fly_Ash",Emission_Factors!$A$2:$A$13,Emission_Factors!$C$2:$C$13)+H106*_xlfn.XLOOKUP("Nano_Silica",Emission_Factors!$A$2:$A$13,Emission_Factors!$C$2:$C$13)+I106*_xlfn.XLOOKUP("Aggregate",Emission_Factors!$A$2:$A$13,Emission_Factors!$C$2:$C$13)+J106*_xlfn.XLOOKUP("Water",Emission_Factors!$A$2:$A$13,Emission_Factors!$C$2:$C$13)+K106*_xlfn.XLOOKUP("Fiber_Recycled",Emission_Factors!$A$2:$A$13,Emission_Factors!$C$2:$C$13)+L106*_xlfn.XLOOKUP("Superplasticizer",Emission_Factors!$A$2:$A$13,Emission_Factors!$C$2:$C$13)</f>
        <v>418.19875200000001</v>
      </c>
    </row>
    <row r="107" spans="1:19" x14ac:dyDescent="0.25">
      <c r="A107">
        <v>507</v>
      </c>
      <c r="B107">
        <v>612.4</v>
      </c>
      <c r="C107">
        <v>0</v>
      </c>
      <c r="D107">
        <v>43.7</v>
      </c>
      <c r="E107">
        <v>262.5</v>
      </c>
      <c r="F107">
        <v>0</v>
      </c>
      <c r="G107">
        <v>0</v>
      </c>
      <c r="H107">
        <v>0</v>
      </c>
      <c r="I107">
        <v>1273.4000000000001</v>
      </c>
      <c r="J107">
        <v>202.1</v>
      </c>
      <c r="K107">
        <v>156</v>
      </c>
      <c r="L107">
        <v>45.9</v>
      </c>
      <c r="M107">
        <v>21</v>
      </c>
      <c r="N107">
        <v>28</v>
      </c>
      <c r="O107">
        <v>134.22999999999999</v>
      </c>
      <c r="P107">
        <v>136.06056000000001</v>
      </c>
      <c r="Q107">
        <v>-1.830562134</v>
      </c>
      <c r="R107" s="4">
        <f>B107*_xlfn.XLOOKUP("Cement",Emission_Factors!$A$2:$A$13,Emission_Factors!$C$2:$C$13)+C107*_xlfn.XLOOKUP("Slag",Emission_Factors!$A$2:$A$13,Emission_Factors!$C$2:$C$13)+D107*_xlfn.XLOOKUP("Silica_Fume",Emission_Factors!$A$2:$A$13,Emission_Factors!$C$2:$C$13)+E107*_xlfn.XLOOKUP("Limestone_Powder",Emission_Factors!$A$2:$A$13,Emission_Factors!$C$2:$C$13)+F107*_xlfn.XLOOKUP("Quartz_Powder",Emission_Factors!$A$2:$A$13,Emission_Factors!$C$2:$C$13)+G107*_xlfn.XLOOKUP("Fly_Ash",Emission_Factors!$A$2:$A$13,Emission_Factors!$C$2:$C$13)+H107*_xlfn.XLOOKUP("Nano_Silica",Emission_Factors!$A$2:$A$13,Emission_Factors!$C$2:$C$13)+I107*_xlfn.XLOOKUP("Aggregate",Emission_Factors!$A$2:$A$13,Emission_Factors!$C$2:$C$13)+J107*_xlfn.XLOOKUP("Water",Emission_Factors!$A$2:$A$13,Emission_Factors!$C$2:$C$13)+K107*_xlfn.XLOOKUP("Fiber_Virgin",Emission_Factors!$A$2:$A$13,Emission_Factors!$C$2:$C$13)+L107*_xlfn.XLOOKUP("Superplasticizer",Emission_Factors!$A$2:$A$13,Emission_Factors!$C$2:$C$13)</f>
        <v>953.10251159999996</v>
      </c>
      <c r="S107" s="4">
        <f>B107*_xlfn.XLOOKUP("Cement",Emission_Factors!$A$2:$A$13,Emission_Factors!$C$2:$C$13)+C107*_xlfn.XLOOKUP("Slag",Emission_Factors!$A$2:$A$13,Emission_Factors!$C$2:$C$13)+D107*_xlfn.XLOOKUP("Silica_Fume",Emission_Factors!$A$2:$A$13,Emission_Factors!$C$2:$C$13)+E107*_xlfn.XLOOKUP("Limestone_Powder",Emission_Factors!$A$2:$A$13,Emission_Factors!$C$2:$C$13)+F107*_xlfn.XLOOKUP("Quartz_Powder",Emission_Factors!$A$2:$A$13,Emission_Factors!$C$2:$C$13)+G107*_xlfn.XLOOKUP("Fly_Ash",Emission_Factors!$A$2:$A$13,Emission_Factors!$C$2:$C$13)+H107*_xlfn.XLOOKUP("Nano_Silica",Emission_Factors!$A$2:$A$13,Emission_Factors!$C$2:$C$13)+I107*_xlfn.XLOOKUP("Aggregate",Emission_Factors!$A$2:$A$13,Emission_Factors!$C$2:$C$13)+J107*_xlfn.XLOOKUP("Water",Emission_Factors!$A$2:$A$13,Emission_Factors!$C$2:$C$13)+K107*_xlfn.XLOOKUP("Fiber_Recycled",Emission_Factors!$A$2:$A$13,Emission_Factors!$C$2:$C$13)+L107*_xlfn.XLOOKUP("Superplasticizer",Emission_Factors!$A$2:$A$13,Emission_Factors!$C$2:$C$13)</f>
        <v>703.50251159999993</v>
      </c>
    </row>
    <row r="108" spans="1:19" x14ac:dyDescent="0.25">
      <c r="A108">
        <v>508</v>
      </c>
      <c r="B108">
        <v>472</v>
      </c>
      <c r="C108">
        <v>315</v>
      </c>
      <c r="D108">
        <v>262</v>
      </c>
      <c r="E108">
        <v>0</v>
      </c>
      <c r="F108">
        <v>0</v>
      </c>
      <c r="G108">
        <v>0</v>
      </c>
      <c r="H108">
        <v>0</v>
      </c>
      <c r="I108">
        <v>1049</v>
      </c>
      <c r="J108">
        <v>178</v>
      </c>
      <c r="K108">
        <v>156</v>
      </c>
      <c r="L108">
        <v>21</v>
      </c>
      <c r="M108">
        <v>23</v>
      </c>
      <c r="N108">
        <v>28</v>
      </c>
      <c r="O108">
        <v>134.30000000000001</v>
      </c>
      <c r="P108">
        <v>129.40710000000001</v>
      </c>
      <c r="Q108">
        <v>4.8928955079999996</v>
      </c>
      <c r="R108" s="4">
        <f>B108*_xlfn.XLOOKUP("Cement",Emission_Factors!$A$2:$A$13,Emission_Factors!$C$2:$C$13)+C108*_xlfn.XLOOKUP("Slag",Emission_Factors!$A$2:$A$13,Emission_Factors!$C$2:$C$13)+D108*_xlfn.XLOOKUP("Silica_Fume",Emission_Factors!$A$2:$A$13,Emission_Factors!$C$2:$C$13)+E108*_xlfn.XLOOKUP("Limestone_Powder",Emission_Factors!$A$2:$A$13,Emission_Factors!$C$2:$C$13)+F108*_xlfn.XLOOKUP("Quartz_Powder",Emission_Factors!$A$2:$A$13,Emission_Factors!$C$2:$C$13)+G108*_xlfn.XLOOKUP("Fly_Ash",Emission_Factors!$A$2:$A$13,Emission_Factors!$C$2:$C$13)+H108*_xlfn.XLOOKUP("Nano_Silica",Emission_Factors!$A$2:$A$13,Emission_Factors!$C$2:$C$13)+I108*_xlfn.XLOOKUP("Aggregate",Emission_Factors!$A$2:$A$13,Emission_Factors!$C$2:$C$13)+J108*_xlfn.XLOOKUP("Water",Emission_Factors!$A$2:$A$13,Emission_Factors!$C$2:$C$13)+K108*_xlfn.XLOOKUP("Fiber_Virgin",Emission_Factors!$A$2:$A$13,Emission_Factors!$C$2:$C$13)+L108*_xlfn.XLOOKUP("Superplasticizer",Emission_Factors!$A$2:$A$13,Emission_Factors!$C$2:$C$13)</f>
        <v>826.91188799999998</v>
      </c>
      <c r="S108" s="4">
        <f>B108*_xlfn.XLOOKUP("Cement",Emission_Factors!$A$2:$A$13,Emission_Factors!$C$2:$C$13)+C108*_xlfn.XLOOKUP("Slag",Emission_Factors!$A$2:$A$13,Emission_Factors!$C$2:$C$13)+D108*_xlfn.XLOOKUP("Silica_Fume",Emission_Factors!$A$2:$A$13,Emission_Factors!$C$2:$C$13)+E108*_xlfn.XLOOKUP("Limestone_Powder",Emission_Factors!$A$2:$A$13,Emission_Factors!$C$2:$C$13)+F108*_xlfn.XLOOKUP("Quartz_Powder",Emission_Factors!$A$2:$A$13,Emission_Factors!$C$2:$C$13)+G108*_xlfn.XLOOKUP("Fly_Ash",Emission_Factors!$A$2:$A$13,Emission_Factors!$C$2:$C$13)+H108*_xlfn.XLOOKUP("Nano_Silica",Emission_Factors!$A$2:$A$13,Emission_Factors!$C$2:$C$13)+I108*_xlfn.XLOOKUP("Aggregate",Emission_Factors!$A$2:$A$13,Emission_Factors!$C$2:$C$13)+J108*_xlfn.XLOOKUP("Water",Emission_Factors!$A$2:$A$13,Emission_Factors!$C$2:$C$13)+K108*_xlfn.XLOOKUP("Fiber_Recycled",Emission_Factors!$A$2:$A$13,Emission_Factors!$C$2:$C$13)+L108*_xlfn.XLOOKUP("Superplasticizer",Emission_Factors!$A$2:$A$13,Emission_Factors!$C$2:$C$13)</f>
        <v>577.31188799999995</v>
      </c>
    </row>
    <row r="109" spans="1:19" x14ac:dyDescent="0.25">
      <c r="A109">
        <v>510</v>
      </c>
      <c r="B109">
        <v>777</v>
      </c>
      <c r="C109">
        <v>0</v>
      </c>
      <c r="D109">
        <v>155</v>
      </c>
      <c r="E109">
        <v>233</v>
      </c>
      <c r="F109">
        <v>0</v>
      </c>
      <c r="G109">
        <v>0</v>
      </c>
      <c r="H109">
        <v>0</v>
      </c>
      <c r="I109">
        <v>816</v>
      </c>
      <c r="J109">
        <v>169</v>
      </c>
      <c r="K109">
        <v>78</v>
      </c>
      <c r="L109">
        <v>40.64</v>
      </c>
      <c r="M109">
        <v>23</v>
      </c>
      <c r="N109">
        <v>28</v>
      </c>
      <c r="O109">
        <v>134.43</v>
      </c>
      <c r="P109">
        <v>145.1987</v>
      </c>
      <c r="Q109">
        <v>-10.76869995</v>
      </c>
      <c r="R109" s="4">
        <f>B109*_xlfn.XLOOKUP("Cement",Emission_Factors!$A$2:$A$13,Emission_Factors!$C$2:$C$13)+C109*_xlfn.XLOOKUP("Slag",Emission_Factors!$A$2:$A$13,Emission_Factors!$C$2:$C$13)+D109*_xlfn.XLOOKUP("Silica_Fume",Emission_Factors!$A$2:$A$13,Emission_Factors!$C$2:$C$13)+E109*_xlfn.XLOOKUP("Limestone_Powder",Emission_Factors!$A$2:$A$13,Emission_Factors!$C$2:$C$13)+F109*_xlfn.XLOOKUP("Quartz_Powder",Emission_Factors!$A$2:$A$13,Emission_Factors!$C$2:$C$13)+G109*_xlfn.XLOOKUP("Fly_Ash",Emission_Factors!$A$2:$A$13,Emission_Factors!$C$2:$C$13)+H109*_xlfn.XLOOKUP("Nano_Silica",Emission_Factors!$A$2:$A$13,Emission_Factors!$C$2:$C$13)+I109*_xlfn.XLOOKUP("Aggregate",Emission_Factors!$A$2:$A$13,Emission_Factors!$C$2:$C$13)+J109*_xlfn.XLOOKUP("Water",Emission_Factors!$A$2:$A$13,Emission_Factors!$C$2:$C$13)+K109*_xlfn.XLOOKUP("Fiber_Virgin",Emission_Factors!$A$2:$A$13,Emission_Factors!$C$2:$C$13)+L109*_xlfn.XLOOKUP("Superplasticizer",Emission_Factors!$A$2:$A$13,Emission_Factors!$C$2:$C$13)</f>
        <v>888.51828399999999</v>
      </c>
      <c r="S109" s="4">
        <f>B109*_xlfn.XLOOKUP("Cement",Emission_Factors!$A$2:$A$13,Emission_Factors!$C$2:$C$13)+C109*_xlfn.XLOOKUP("Slag",Emission_Factors!$A$2:$A$13,Emission_Factors!$C$2:$C$13)+D109*_xlfn.XLOOKUP("Silica_Fume",Emission_Factors!$A$2:$A$13,Emission_Factors!$C$2:$C$13)+E109*_xlfn.XLOOKUP("Limestone_Powder",Emission_Factors!$A$2:$A$13,Emission_Factors!$C$2:$C$13)+F109*_xlfn.XLOOKUP("Quartz_Powder",Emission_Factors!$A$2:$A$13,Emission_Factors!$C$2:$C$13)+G109*_xlfn.XLOOKUP("Fly_Ash",Emission_Factors!$A$2:$A$13,Emission_Factors!$C$2:$C$13)+H109*_xlfn.XLOOKUP("Nano_Silica",Emission_Factors!$A$2:$A$13,Emission_Factors!$C$2:$C$13)+I109*_xlfn.XLOOKUP("Aggregate",Emission_Factors!$A$2:$A$13,Emission_Factors!$C$2:$C$13)+J109*_xlfn.XLOOKUP("Water",Emission_Factors!$A$2:$A$13,Emission_Factors!$C$2:$C$13)+K109*_xlfn.XLOOKUP("Fiber_Recycled",Emission_Factors!$A$2:$A$13,Emission_Factors!$C$2:$C$13)+L109*_xlfn.XLOOKUP("Superplasticizer",Emission_Factors!$A$2:$A$13,Emission_Factors!$C$2:$C$13)</f>
        <v>763.71828400000004</v>
      </c>
    </row>
    <row r="110" spans="1:19" x14ac:dyDescent="0.25">
      <c r="A110">
        <v>516</v>
      </c>
      <c r="B110">
        <v>960</v>
      </c>
      <c r="C110">
        <v>0</v>
      </c>
      <c r="D110">
        <v>240</v>
      </c>
      <c r="E110">
        <v>0</v>
      </c>
      <c r="F110">
        <v>0</v>
      </c>
      <c r="G110">
        <v>0</v>
      </c>
      <c r="H110">
        <v>0</v>
      </c>
      <c r="I110">
        <v>793.7</v>
      </c>
      <c r="J110">
        <v>234</v>
      </c>
      <c r="K110">
        <v>0</v>
      </c>
      <c r="L110">
        <v>45</v>
      </c>
      <c r="M110">
        <v>23</v>
      </c>
      <c r="N110">
        <v>28</v>
      </c>
      <c r="O110">
        <v>136.6</v>
      </c>
      <c r="P110">
        <v>140.10342</v>
      </c>
      <c r="Q110">
        <v>-3.5034240720000001</v>
      </c>
      <c r="R110" s="4">
        <f>B110*_xlfn.XLOOKUP("Cement",Emission_Factors!$A$2:$A$13,Emission_Factors!$C$2:$C$13)+C110*_xlfn.XLOOKUP("Slag",Emission_Factors!$A$2:$A$13,Emission_Factors!$C$2:$C$13)+D110*_xlfn.XLOOKUP("Silica_Fume",Emission_Factors!$A$2:$A$13,Emission_Factors!$C$2:$C$13)+E110*_xlfn.XLOOKUP("Limestone_Powder",Emission_Factors!$A$2:$A$13,Emission_Factors!$C$2:$C$13)+F110*_xlfn.XLOOKUP("Quartz_Powder",Emission_Factors!$A$2:$A$13,Emission_Factors!$C$2:$C$13)+G110*_xlfn.XLOOKUP("Fly_Ash",Emission_Factors!$A$2:$A$13,Emission_Factors!$C$2:$C$13)+H110*_xlfn.XLOOKUP("Nano_Silica",Emission_Factors!$A$2:$A$13,Emission_Factors!$C$2:$C$13)+I110*_xlfn.XLOOKUP("Aggregate",Emission_Factors!$A$2:$A$13,Emission_Factors!$C$2:$C$13)+J110*_xlfn.XLOOKUP("Water",Emission_Factors!$A$2:$A$13,Emission_Factors!$C$2:$C$13)+K110*_xlfn.XLOOKUP("Fiber_Virgin",Emission_Factors!$A$2:$A$13,Emission_Factors!$C$2:$C$13)+L110*_xlfn.XLOOKUP("Superplasticizer",Emission_Factors!$A$2:$A$13,Emission_Factors!$C$2:$C$13)</f>
        <v>846.65436399999999</v>
      </c>
      <c r="S110" s="4">
        <f>B110*_xlfn.XLOOKUP("Cement",Emission_Factors!$A$2:$A$13,Emission_Factors!$C$2:$C$13)+C110*_xlfn.XLOOKUP("Slag",Emission_Factors!$A$2:$A$13,Emission_Factors!$C$2:$C$13)+D110*_xlfn.XLOOKUP("Silica_Fume",Emission_Factors!$A$2:$A$13,Emission_Factors!$C$2:$C$13)+E110*_xlfn.XLOOKUP("Limestone_Powder",Emission_Factors!$A$2:$A$13,Emission_Factors!$C$2:$C$13)+F110*_xlfn.XLOOKUP("Quartz_Powder",Emission_Factors!$A$2:$A$13,Emission_Factors!$C$2:$C$13)+G110*_xlfn.XLOOKUP("Fly_Ash",Emission_Factors!$A$2:$A$13,Emission_Factors!$C$2:$C$13)+H110*_xlfn.XLOOKUP("Nano_Silica",Emission_Factors!$A$2:$A$13,Emission_Factors!$C$2:$C$13)+I110*_xlfn.XLOOKUP("Aggregate",Emission_Factors!$A$2:$A$13,Emission_Factors!$C$2:$C$13)+J110*_xlfn.XLOOKUP("Water",Emission_Factors!$A$2:$A$13,Emission_Factors!$C$2:$C$13)+K110*_xlfn.XLOOKUP("Fiber_Recycled",Emission_Factors!$A$2:$A$13,Emission_Factors!$C$2:$C$13)+L110*_xlfn.XLOOKUP("Superplasticizer",Emission_Factors!$A$2:$A$13,Emission_Factors!$C$2:$C$13)</f>
        <v>846.65436399999999</v>
      </c>
    </row>
    <row r="111" spans="1:19" x14ac:dyDescent="0.25">
      <c r="A111">
        <v>529</v>
      </c>
      <c r="B111">
        <v>270</v>
      </c>
      <c r="C111">
        <v>180</v>
      </c>
      <c r="D111">
        <v>90</v>
      </c>
      <c r="E111">
        <v>360</v>
      </c>
      <c r="F111">
        <v>0</v>
      </c>
      <c r="G111">
        <v>0</v>
      </c>
      <c r="H111">
        <v>0</v>
      </c>
      <c r="I111">
        <v>1539</v>
      </c>
      <c r="J111">
        <v>144</v>
      </c>
      <c r="K111">
        <v>0</v>
      </c>
      <c r="L111">
        <v>18</v>
      </c>
      <c r="M111">
        <v>20</v>
      </c>
      <c r="N111">
        <v>56</v>
      </c>
      <c r="O111">
        <v>139</v>
      </c>
      <c r="P111">
        <v>138.75136000000001</v>
      </c>
      <c r="Q111">
        <v>0.24864196799999999</v>
      </c>
      <c r="R111" s="4">
        <f>B111*_xlfn.XLOOKUP("Cement",Emission_Factors!$A$2:$A$13,Emission_Factors!$C$2:$C$13)+C111*_xlfn.XLOOKUP("Slag",Emission_Factors!$A$2:$A$13,Emission_Factors!$C$2:$C$13)+D111*_xlfn.XLOOKUP("Silica_Fume",Emission_Factors!$A$2:$A$13,Emission_Factors!$C$2:$C$13)+E111*_xlfn.XLOOKUP("Limestone_Powder",Emission_Factors!$A$2:$A$13,Emission_Factors!$C$2:$C$13)+F111*_xlfn.XLOOKUP("Quartz_Powder",Emission_Factors!$A$2:$A$13,Emission_Factors!$C$2:$C$13)+G111*_xlfn.XLOOKUP("Fly_Ash",Emission_Factors!$A$2:$A$13,Emission_Factors!$C$2:$C$13)+H111*_xlfn.XLOOKUP("Nano_Silica",Emission_Factors!$A$2:$A$13,Emission_Factors!$C$2:$C$13)+I111*_xlfn.XLOOKUP("Aggregate",Emission_Factors!$A$2:$A$13,Emission_Factors!$C$2:$C$13)+J111*_xlfn.XLOOKUP("Water",Emission_Factors!$A$2:$A$13,Emission_Factors!$C$2:$C$13)+K111*_xlfn.XLOOKUP("Fiber_Virgin",Emission_Factors!$A$2:$A$13,Emission_Factors!$C$2:$C$13)+L111*_xlfn.XLOOKUP("Superplasticizer",Emission_Factors!$A$2:$A$13,Emission_Factors!$C$2:$C$13)</f>
        <v>265.55522399999995</v>
      </c>
      <c r="S111" s="4">
        <f>B111*_xlfn.XLOOKUP("Cement",Emission_Factors!$A$2:$A$13,Emission_Factors!$C$2:$C$13)+C111*_xlfn.XLOOKUP("Slag",Emission_Factors!$A$2:$A$13,Emission_Factors!$C$2:$C$13)+D111*_xlfn.XLOOKUP("Silica_Fume",Emission_Factors!$A$2:$A$13,Emission_Factors!$C$2:$C$13)+E111*_xlfn.XLOOKUP("Limestone_Powder",Emission_Factors!$A$2:$A$13,Emission_Factors!$C$2:$C$13)+F111*_xlfn.XLOOKUP("Quartz_Powder",Emission_Factors!$A$2:$A$13,Emission_Factors!$C$2:$C$13)+G111*_xlfn.XLOOKUP("Fly_Ash",Emission_Factors!$A$2:$A$13,Emission_Factors!$C$2:$C$13)+H111*_xlfn.XLOOKUP("Nano_Silica",Emission_Factors!$A$2:$A$13,Emission_Factors!$C$2:$C$13)+I111*_xlfn.XLOOKUP("Aggregate",Emission_Factors!$A$2:$A$13,Emission_Factors!$C$2:$C$13)+J111*_xlfn.XLOOKUP("Water",Emission_Factors!$A$2:$A$13,Emission_Factors!$C$2:$C$13)+K111*_xlfn.XLOOKUP("Fiber_Recycled",Emission_Factors!$A$2:$A$13,Emission_Factors!$C$2:$C$13)+L111*_xlfn.XLOOKUP("Superplasticizer",Emission_Factors!$A$2:$A$13,Emission_Factors!$C$2:$C$13)</f>
        <v>265.55522399999995</v>
      </c>
    </row>
    <row r="112" spans="1:19" x14ac:dyDescent="0.25">
      <c r="A112">
        <v>531</v>
      </c>
      <c r="B112">
        <v>1009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1231</v>
      </c>
      <c r="J112">
        <v>201.8</v>
      </c>
      <c r="K112">
        <v>0</v>
      </c>
      <c r="L112">
        <v>34.200000000000003</v>
      </c>
      <c r="M112">
        <v>21</v>
      </c>
      <c r="N112">
        <v>90</v>
      </c>
      <c r="O112">
        <v>139.30000000000001</v>
      </c>
      <c r="P112">
        <v>148.31612999999999</v>
      </c>
      <c r="Q112">
        <v>-9.0161315920000007</v>
      </c>
      <c r="R112" s="4">
        <f>B112*_xlfn.XLOOKUP("Cement",Emission_Factors!$A$2:$A$13,Emission_Factors!$C$2:$C$13)+C112*_xlfn.XLOOKUP("Slag",Emission_Factors!$A$2:$A$13,Emission_Factors!$C$2:$C$13)+D112*_xlfn.XLOOKUP("Silica_Fume",Emission_Factors!$A$2:$A$13,Emission_Factors!$C$2:$C$13)+E112*_xlfn.XLOOKUP("Limestone_Powder",Emission_Factors!$A$2:$A$13,Emission_Factors!$C$2:$C$13)+F112*_xlfn.XLOOKUP("Quartz_Powder",Emission_Factors!$A$2:$A$13,Emission_Factors!$C$2:$C$13)+G112*_xlfn.XLOOKUP("Fly_Ash",Emission_Factors!$A$2:$A$13,Emission_Factors!$C$2:$C$13)+H112*_xlfn.XLOOKUP("Nano_Silica",Emission_Factors!$A$2:$A$13,Emission_Factors!$C$2:$C$13)+I112*_xlfn.XLOOKUP("Aggregate",Emission_Factors!$A$2:$A$13,Emission_Factors!$C$2:$C$13)+J112*_xlfn.XLOOKUP("Water",Emission_Factors!$A$2:$A$13,Emission_Factors!$C$2:$C$13)+K112*_xlfn.XLOOKUP("Fiber_Virgin",Emission_Factors!$A$2:$A$13,Emission_Factors!$C$2:$C$13)+L112*_xlfn.XLOOKUP("Superplasticizer",Emission_Factors!$A$2:$A$13,Emission_Factors!$C$2:$C$13)</f>
        <v>875.94935279999993</v>
      </c>
      <c r="S112" s="4">
        <f>B112*_xlfn.XLOOKUP("Cement",Emission_Factors!$A$2:$A$13,Emission_Factors!$C$2:$C$13)+C112*_xlfn.XLOOKUP("Slag",Emission_Factors!$A$2:$A$13,Emission_Factors!$C$2:$C$13)+D112*_xlfn.XLOOKUP("Silica_Fume",Emission_Factors!$A$2:$A$13,Emission_Factors!$C$2:$C$13)+E112*_xlfn.XLOOKUP("Limestone_Powder",Emission_Factors!$A$2:$A$13,Emission_Factors!$C$2:$C$13)+F112*_xlfn.XLOOKUP("Quartz_Powder",Emission_Factors!$A$2:$A$13,Emission_Factors!$C$2:$C$13)+G112*_xlfn.XLOOKUP("Fly_Ash",Emission_Factors!$A$2:$A$13,Emission_Factors!$C$2:$C$13)+H112*_xlfn.XLOOKUP("Nano_Silica",Emission_Factors!$A$2:$A$13,Emission_Factors!$C$2:$C$13)+I112*_xlfn.XLOOKUP("Aggregate",Emission_Factors!$A$2:$A$13,Emission_Factors!$C$2:$C$13)+J112*_xlfn.XLOOKUP("Water",Emission_Factors!$A$2:$A$13,Emission_Factors!$C$2:$C$13)+K112*_xlfn.XLOOKUP("Fiber_Recycled",Emission_Factors!$A$2:$A$13,Emission_Factors!$C$2:$C$13)+L112*_xlfn.XLOOKUP("Superplasticizer",Emission_Factors!$A$2:$A$13,Emission_Factors!$C$2:$C$13)</f>
        <v>875.94935279999993</v>
      </c>
    </row>
    <row r="113" spans="1:19" x14ac:dyDescent="0.25">
      <c r="A113">
        <v>542</v>
      </c>
      <c r="B113">
        <v>800</v>
      </c>
      <c r="C113">
        <v>0</v>
      </c>
      <c r="D113">
        <v>100</v>
      </c>
      <c r="E113">
        <v>0</v>
      </c>
      <c r="F113">
        <v>200</v>
      </c>
      <c r="G113">
        <v>0</v>
      </c>
      <c r="H113">
        <v>0</v>
      </c>
      <c r="I113">
        <v>980</v>
      </c>
      <c r="J113">
        <v>200</v>
      </c>
      <c r="K113">
        <v>0</v>
      </c>
      <c r="L113">
        <v>9.6</v>
      </c>
      <c r="M113">
        <v>20</v>
      </c>
      <c r="N113">
        <v>90</v>
      </c>
      <c r="O113">
        <v>141.1</v>
      </c>
      <c r="P113">
        <v>166.02038999999999</v>
      </c>
      <c r="Q113">
        <v>-24.92038574</v>
      </c>
      <c r="R113" s="4">
        <f>B113*_xlfn.XLOOKUP("Cement",Emission_Factors!$A$2:$A$13,Emission_Factors!$C$2:$C$13)+C113*_xlfn.XLOOKUP("Slag",Emission_Factors!$A$2:$A$13,Emission_Factors!$C$2:$C$13)+D113*_xlfn.XLOOKUP("Silica_Fume",Emission_Factors!$A$2:$A$13,Emission_Factors!$C$2:$C$13)+E113*_xlfn.XLOOKUP("Limestone_Powder",Emission_Factors!$A$2:$A$13,Emission_Factors!$C$2:$C$13)+F113*_xlfn.XLOOKUP("Quartz_Powder",Emission_Factors!$A$2:$A$13,Emission_Factors!$C$2:$C$13)+G113*_xlfn.XLOOKUP("Fly_Ash",Emission_Factors!$A$2:$A$13,Emission_Factors!$C$2:$C$13)+H113*_xlfn.XLOOKUP("Nano_Silica",Emission_Factors!$A$2:$A$13,Emission_Factors!$C$2:$C$13)+I113*_xlfn.XLOOKUP("Aggregate",Emission_Factors!$A$2:$A$13,Emission_Factors!$C$2:$C$13)+J113*_xlfn.XLOOKUP("Water",Emission_Factors!$A$2:$A$13,Emission_Factors!$C$2:$C$13)+K113*_xlfn.XLOOKUP("Fiber_Virgin",Emission_Factors!$A$2:$A$13,Emission_Factors!$C$2:$C$13)+L113*_xlfn.XLOOKUP("Superplasticizer",Emission_Factors!$A$2:$A$13,Emission_Factors!$C$2:$C$13)</f>
        <v>684.14160000000004</v>
      </c>
      <c r="S113" s="4">
        <f>B113*_xlfn.XLOOKUP("Cement",Emission_Factors!$A$2:$A$13,Emission_Factors!$C$2:$C$13)+C113*_xlfn.XLOOKUP("Slag",Emission_Factors!$A$2:$A$13,Emission_Factors!$C$2:$C$13)+D113*_xlfn.XLOOKUP("Silica_Fume",Emission_Factors!$A$2:$A$13,Emission_Factors!$C$2:$C$13)+E113*_xlfn.XLOOKUP("Limestone_Powder",Emission_Factors!$A$2:$A$13,Emission_Factors!$C$2:$C$13)+F113*_xlfn.XLOOKUP("Quartz_Powder",Emission_Factors!$A$2:$A$13,Emission_Factors!$C$2:$C$13)+G113*_xlfn.XLOOKUP("Fly_Ash",Emission_Factors!$A$2:$A$13,Emission_Factors!$C$2:$C$13)+H113*_xlfn.XLOOKUP("Nano_Silica",Emission_Factors!$A$2:$A$13,Emission_Factors!$C$2:$C$13)+I113*_xlfn.XLOOKUP("Aggregate",Emission_Factors!$A$2:$A$13,Emission_Factors!$C$2:$C$13)+J113*_xlfn.XLOOKUP("Water",Emission_Factors!$A$2:$A$13,Emission_Factors!$C$2:$C$13)+K113*_xlfn.XLOOKUP("Fiber_Recycled",Emission_Factors!$A$2:$A$13,Emission_Factors!$C$2:$C$13)+L113*_xlfn.XLOOKUP("Superplasticizer",Emission_Factors!$A$2:$A$13,Emission_Factors!$C$2:$C$13)</f>
        <v>684.14160000000004</v>
      </c>
    </row>
    <row r="114" spans="1:19" x14ac:dyDescent="0.25">
      <c r="A114">
        <v>564</v>
      </c>
      <c r="B114">
        <v>630</v>
      </c>
      <c r="C114">
        <v>0</v>
      </c>
      <c r="D114">
        <v>70</v>
      </c>
      <c r="E114">
        <v>0</v>
      </c>
      <c r="F114">
        <v>0</v>
      </c>
      <c r="G114">
        <v>0</v>
      </c>
      <c r="H114">
        <v>0</v>
      </c>
      <c r="I114">
        <v>1788</v>
      </c>
      <c r="J114">
        <v>126</v>
      </c>
      <c r="K114">
        <v>0</v>
      </c>
      <c r="L114">
        <v>18</v>
      </c>
      <c r="M114">
        <v>20</v>
      </c>
      <c r="N114">
        <v>56</v>
      </c>
      <c r="O114">
        <v>146</v>
      </c>
      <c r="P114">
        <v>147.25513000000001</v>
      </c>
      <c r="Q114">
        <v>-1.255126953</v>
      </c>
      <c r="R114" s="4">
        <f>B114*_xlfn.XLOOKUP("Cement",Emission_Factors!$A$2:$A$13,Emission_Factors!$C$2:$C$13)+C114*_xlfn.XLOOKUP("Slag",Emission_Factors!$A$2:$A$13,Emission_Factors!$C$2:$C$13)+D114*_xlfn.XLOOKUP("Silica_Fume",Emission_Factors!$A$2:$A$13,Emission_Factors!$C$2:$C$13)+E114*_xlfn.XLOOKUP("Limestone_Powder",Emission_Factors!$A$2:$A$13,Emission_Factors!$C$2:$C$13)+F114*_xlfn.XLOOKUP("Quartz_Powder",Emission_Factors!$A$2:$A$13,Emission_Factors!$C$2:$C$13)+G114*_xlfn.XLOOKUP("Fly_Ash",Emission_Factors!$A$2:$A$13,Emission_Factors!$C$2:$C$13)+H114*_xlfn.XLOOKUP("Nano_Silica",Emission_Factors!$A$2:$A$13,Emission_Factors!$C$2:$C$13)+I114*_xlfn.XLOOKUP("Aggregate",Emission_Factors!$A$2:$A$13,Emission_Factors!$C$2:$C$13)+J114*_xlfn.XLOOKUP("Water",Emission_Factors!$A$2:$A$13,Emission_Factors!$C$2:$C$13)+K114*_xlfn.XLOOKUP("Fiber_Virgin",Emission_Factors!$A$2:$A$13,Emission_Factors!$C$2:$C$13)+L114*_xlfn.XLOOKUP("Superplasticizer",Emission_Factors!$A$2:$A$13,Emission_Factors!$C$2:$C$13)</f>
        <v>549.83669599999996</v>
      </c>
      <c r="S114" s="4">
        <f>B114*_xlfn.XLOOKUP("Cement",Emission_Factors!$A$2:$A$13,Emission_Factors!$C$2:$C$13)+C114*_xlfn.XLOOKUP("Slag",Emission_Factors!$A$2:$A$13,Emission_Factors!$C$2:$C$13)+D114*_xlfn.XLOOKUP("Silica_Fume",Emission_Factors!$A$2:$A$13,Emission_Factors!$C$2:$C$13)+E114*_xlfn.XLOOKUP("Limestone_Powder",Emission_Factors!$A$2:$A$13,Emission_Factors!$C$2:$C$13)+F114*_xlfn.XLOOKUP("Quartz_Powder",Emission_Factors!$A$2:$A$13,Emission_Factors!$C$2:$C$13)+G114*_xlfn.XLOOKUP("Fly_Ash",Emission_Factors!$A$2:$A$13,Emission_Factors!$C$2:$C$13)+H114*_xlfn.XLOOKUP("Nano_Silica",Emission_Factors!$A$2:$A$13,Emission_Factors!$C$2:$C$13)+I114*_xlfn.XLOOKUP("Aggregate",Emission_Factors!$A$2:$A$13,Emission_Factors!$C$2:$C$13)+J114*_xlfn.XLOOKUP("Water",Emission_Factors!$A$2:$A$13,Emission_Factors!$C$2:$C$13)+K114*_xlfn.XLOOKUP("Fiber_Recycled",Emission_Factors!$A$2:$A$13,Emission_Factors!$C$2:$C$13)+L114*_xlfn.XLOOKUP("Superplasticizer",Emission_Factors!$A$2:$A$13,Emission_Factors!$C$2:$C$13)</f>
        <v>549.83669599999996</v>
      </c>
    </row>
    <row r="115" spans="1:19" x14ac:dyDescent="0.25">
      <c r="A115">
        <v>565</v>
      </c>
      <c r="B115">
        <v>874.9</v>
      </c>
      <c r="C115">
        <v>0</v>
      </c>
      <c r="D115">
        <v>43.7</v>
      </c>
      <c r="E115">
        <v>0</v>
      </c>
      <c r="F115">
        <v>0</v>
      </c>
      <c r="G115">
        <v>0</v>
      </c>
      <c r="H115">
        <v>0</v>
      </c>
      <c r="I115">
        <v>1273.4000000000001</v>
      </c>
      <c r="J115">
        <v>202.1</v>
      </c>
      <c r="K115">
        <v>156</v>
      </c>
      <c r="L115">
        <v>45.9</v>
      </c>
      <c r="M115">
        <v>21</v>
      </c>
      <c r="N115">
        <v>28</v>
      </c>
      <c r="O115">
        <v>146.31</v>
      </c>
      <c r="P115">
        <v>146.14510999999999</v>
      </c>
      <c r="Q115">
        <v>0.164888916</v>
      </c>
      <c r="R115" s="4">
        <f>B115*_xlfn.XLOOKUP("Cement",Emission_Factors!$A$2:$A$13,Emission_Factors!$C$2:$C$13)+C115*_xlfn.XLOOKUP("Slag",Emission_Factors!$A$2:$A$13,Emission_Factors!$C$2:$C$13)+D115*_xlfn.XLOOKUP("Silica_Fume",Emission_Factors!$A$2:$A$13,Emission_Factors!$C$2:$C$13)+E115*_xlfn.XLOOKUP("Limestone_Powder",Emission_Factors!$A$2:$A$13,Emission_Factors!$C$2:$C$13)+F115*_xlfn.XLOOKUP("Quartz_Powder",Emission_Factors!$A$2:$A$13,Emission_Factors!$C$2:$C$13)+G115*_xlfn.XLOOKUP("Fly_Ash",Emission_Factors!$A$2:$A$13,Emission_Factors!$C$2:$C$13)+H115*_xlfn.XLOOKUP("Nano_Silica",Emission_Factors!$A$2:$A$13,Emission_Factors!$C$2:$C$13)+I115*_xlfn.XLOOKUP("Aggregate",Emission_Factors!$A$2:$A$13,Emission_Factors!$C$2:$C$13)+J115*_xlfn.XLOOKUP("Water",Emission_Factors!$A$2:$A$13,Emission_Factors!$C$2:$C$13)+K115*_xlfn.XLOOKUP("Fiber_Virgin",Emission_Factors!$A$2:$A$13,Emission_Factors!$C$2:$C$13)+L115*_xlfn.XLOOKUP("Superplasticizer",Emission_Factors!$A$2:$A$13,Emission_Factors!$C$2:$C$13)</f>
        <v>1166.5150116</v>
      </c>
      <c r="S115" s="4">
        <f>B115*_xlfn.XLOOKUP("Cement",Emission_Factors!$A$2:$A$13,Emission_Factors!$C$2:$C$13)+C115*_xlfn.XLOOKUP("Slag",Emission_Factors!$A$2:$A$13,Emission_Factors!$C$2:$C$13)+D115*_xlfn.XLOOKUP("Silica_Fume",Emission_Factors!$A$2:$A$13,Emission_Factors!$C$2:$C$13)+E115*_xlfn.XLOOKUP("Limestone_Powder",Emission_Factors!$A$2:$A$13,Emission_Factors!$C$2:$C$13)+F115*_xlfn.XLOOKUP("Quartz_Powder",Emission_Factors!$A$2:$A$13,Emission_Factors!$C$2:$C$13)+G115*_xlfn.XLOOKUP("Fly_Ash",Emission_Factors!$A$2:$A$13,Emission_Factors!$C$2:$C$13)+H115*_xlfn.XLOOKUP("Nano_Silica",Emission_Factors!$A$2:$A$13,Emission_Factors!$C$2:$C$13)+I115*_xlfn.XLOOKUP("Aggregate",Emission_Factors!$A$2:$A$13,Emission_Factors!$C$2:$C$13)+J115*_xlfn.XLOOKUP("Water",Emission_Factors!$A$2:$A$13,Emission_Factors!$C$2:$C$13)+K115*_xlfn.XLOOKUP("Fiber_Recycled",Emission_Factors!$A$2:$A$13,Emission_Factors!$C$2:$C$13)+L115*_xlfn.XLOOKUP("Superplasticizer",Emission_Factors!$A$2:$A$13,Emission_Factors!$C$2:$C$13)</f>
        <v>916.91501159999984</v>
      </c>
    </row>
    <row r="116" spans="1:19" x14ac:dyDescent="0.25">
      <c r="A116">
        <v>567</v>
      </c>
      <c r="B116">
        <v>833</v>
      </c>
      <c r="C116">
        <v>0</v>
      </c>
      <c r="D116">
        <v>208</v>
      </c>
      <c r="E116">
        <v>0</v>
      </c>
      <c r="F116">
        <v>0</v>
      </c>
      <c r="G116">
        <v>0</v>
      </c>
      <c r="H116">
        <v>0</v>
      </c>
      <c r="I116">
        <v>1125</v>
      </c>
      <c r="J116">
        <v>208</v>
      </c>
      <c r="K116">
        <v>0</v>
      </c>
      <c r="L116">
        <v>25</v>
      </c>
      <c r="M116">
        <v>23</v>
      </c>
      <c r="N116">
        <v>28</v>
      </c>
      <c r="O116">
        <v>147</v>
      </c>
      <c r="P116">
        <v>128.46266</v>
      </c>
      <c r="Q116">
        <v>18.537338259999999</v>
      </c>
      <c r="R116" s="4">
        <f>B116*_xlfn.XLOOKUP("Cement",Emission_Factors!$A$2:$A$13,Emission_Factors!$C$2:$C$13)+C116*_xlfn.XLOOKUP("Slag",Emission_Factors!$A$2:$A$13,Emission_Factors!$C$2:$C$13)+D116*_xlfn.XLOOKUP("Silica_Fume",Emission_Factors!$A$2:$A$13,Emission_Factors!$C$2:$C$13)+E116*_xlfn.XLOOKUP("Limestone_Powder",Emission_Factors!$A$2:$A$13,Emission_Factors!$C$2:$C$13)+F116*_xlfn.XLOOKUP("Quartz_Powder",Emission_Factors!$A$2:$A$13,Emission_Factors!$C$2:$C$13)+G116*_xlfn.XLOOKUP("Fly_Ash",Emission_Factors!$A$2:$A$13,Emission_Factors!$C$2:$C$13)+H116*_xlfn.XLOOKUP("Nano_Silica",Emission_Factors!$A$2:$A$13,Emission_Factors!$C$2:$C$13)+I116*_xlfn.XLOOKUP("Aggregate",Emission_Factors!$A$2:$A$13,Emission_Factors!$C$2:$C$13)+J116*_xlfn.XLOOKUP("Water",Emission_Factors!$A$2:$A$13,Emission_Factors!$C$2:$C$13)+K116*_xlfn.XLOOKUP("Fiber_Virgin",Emission_Factors!$A$2:$A$13,Emission_Factors!$C$2:$C$13)+L116*_xlfn.XLOOKUP("Superplasticizer",Emission_Factors!$A$2:$A$13,Emission_Factors!$C$2:$C$13)</f>
        <v>723.567768</v>
      </c>
      <c r="S116" s="4">
        <f>B116*_xlfn.XLOOKUP("Cement",Emission_Factors!$A$2:$A$13,Emission_Factors!$C$2:$C$13)+C116*_xlfn.XLOOKUP("Slag",Emission_Factors!$A$2:$A$13,Emission_Factors!$C$2:$C$13)+D116*_xlfn.XLOOKUP("Silica_Fume",Emission_Factors!$A$2:$A$13,Emission_Factors!$C$2:$C$13)+E116*_xlfn.XLOOKUP("Limestone_Powder",Emission_Factors!$A$2:$A$13,Emission_Factors!$C$2:$C$13)+F116*_xlfn.XLOOKUP("Quartz_Powder",Emission_Factors!$A$2:$A$13,Emission_Factors!$C$2:$C$13)+G116*_xlfn.XLOOKUP("Fly_Ash",Emission_Factors!$A$2:$A$13,Emission_Factors!$C$2:$C$13)+H116*_xlfn.XLOOKUP("Nano_Silica",Emission_Factors!$A$2:$A$13,Emission_Factors!$C$2:$C$13)+I116*_xlfn.XLOOKUP("Aggregate",Emission_Factors!$A$2:$A$13,Emission_Factors!$C$2:$C$13)+J116*_xlfn.XLOOKUP("Water",Emission_Factors!$A$2:$A$13,Emission_Factors!$C$2:$C$13)+K116*_xlfn.XLOOKUP("Fiber_Recycled",Emission_Factors!$A$2:$A$13,Emission_Factors!$C$2:$C$13)+L116*_xlfn.XLOOKUP("Superplasticizer",Emission_Factors!$A$2:$A$13,Emission_Factors!$C$2:$C$13)</f>
        <v>723.567768</v>
      </c>
    </row>
    <row r="117" spans="1:19" x14ac:dyDescent="0.25">
      <c r="A117">
        <v>576</v>
      </c>
      <c r="B117">
        <v>825.8</v>
      </c>
      <c r="C117">
        <v>0</v>
      </c>
      <c r="D117">
        <v>192.3</v>
      </c>
      <c r="E117">
        <v>486.2</v>
      </c>
      <c r="F117">
        <v>0</v>
      </c>
      <c r="G117">
        <v>0</v>
      </c>
      <c r="H117">
        <v>0</v>
      </c>
      <c r="I117">
        <v>444.4</v>
      </c>
      <c r="J117">
        <v>201.4</v>
      </c>
      <c r="K117">
        <v>0</v>
      </c>
      <c r="L117">
        <v>10.5</v>
      </c>
      <c r="M117">
        <v>23</v>
      </c>
      <c r="N117">
        <v>14</v>
      </c>
      <c r="O117">
        <v>148.52000000000001</v>
      </c>
      <c r="P117">
        <v>149.55914000000001</v>
      </c>
      <c r="Q117">
        <v>-1.0391430660000001</v>
      </c>
      <c r="R117" s="4">
        <f>B117*_xlfn.XLOOKUP("Cement",Emission_Factors!$A$2:$A$13,Emission_Factors!$C$2:$C$13)+C117*_xlfn.XLOOKUP("Slag",Emission_Factors!$A$2:$A$13,Emission_Factors!$C$2:$C$13)+D117*_xlfn.XLOOKUP("Silica_Fume",Emission_Factors!$A$2:$A$13,Emission_Factors!$C$2:$C$13)+E117*_xlfn.XLOOKUP("Limestone_Powder",Emission_Factors!$A$2:$A$13,Emission_Factors!$C$2:$C$13)+F117*_xlfn.XLOOKUP("Quartz_Powder",Emission_Factors!$A$2:$A$13,Emission_Factors!$C$2:$C$13)+G117*_xlfn.XLOOKUP("Fly_Ash",Emission_Factors!$A$2:$A$13,Emission_Factors!$C$2:$C$13)+H117*_xlfn.XLOOKUP("Nano_Silica",Emission_Factors!$A$2:$A$13,Emission_Factors!$C$2:$C$13)+I117*_xlfn.XLOOKUP("Aggregate",Emission_Factors!$A$2:$A$13,Emission_Factors!$C$2:$C$13)+J117*_xlfn.XLOOKUP("Water",Emission_Factors!$A$2:$A$13,Emission_Factors!$C$2:$C$13)+K117*_xlfn.XLOOKUP("Fiber_Virgin",Emission_Factors!$A$2:$A$13,Emission_Factors!$C$2:$C$13)+L117*_xlfn.XLOOKUP("Superplasticizer",Emission_Factors!$A$2:$A$13,Emission_Factors!$C$2:$C$13)</f>
        <v>708.54507439999986</v>
      </c>
      <c r="S117" s="4">
        <f>B117*_xlfn.XLOOKUP("Cement",Emission_Factors!$A$2:$A$13,Emission_Factors!$C$2:$C$13)+C117*_xlfn.XLOOKUP("Slag",Emission_Factors!$A$2:$A$13,Emission_Factors!$C$2:$C$13)+D117*_xlfn.XLOOKUP("Silica_Fume",Emission_Factors!$A$2:$A$13,Emission_Factors!$C$2:$C$13)+E117*_xlfn.XLOOKUP("Limestone_Powder",Emission_Factors!$A$2:$A$13,Emission_Factors!$C$2:$C$13)+F117*_xlfn.XLOOKUP("Quartz_Powder",Emission_Factors!$A$2:$A$13,Emission_Factors!$C$2:$C$13)+G117*_xlfn.XLOOKUP("Fly_Ash",Emission_Factors!$A$2:$A$13,Emission_Factors!$C$2:$C$13)+H117*_xlfn.XLOOKUP("Nano_Silica",Emission_Factors!$A$2:$A$13,Emission_Factors!$C$2:$C$13)+I117*_xlfn.XLOOKUP("Aggregate",Emission_Factors!$A$2:$A$13,Emission_Factors!$C$2:$C$13)+J117*_xlfn.XLOOKUP("Water",Emission_Factors!$A$2:$A$13,Emission_Factors!$C$2:$C$13)+K117*_xlfn.XLOOKUP("Fiber_Recycled",Emission_Factors!$A$2:$A$13,Emission_Factors!$C$2:$C$13)+L117*_xlfn.XLOOKUP("Superplasticizer",Emission_Factors!$A$2:$A$13,Emission_Factors!$C$2:$C$13)</f>
        <v>708.54507439999986</v>
      </c>
    </row>
    <row r="118" spans="1:19" x14ac:dyDescent="0.25">
      <c r="A118">
        <v>579</v>
      </c>
      <c r="B118">
        <v>800</v>
      </c>
      <c r="C118">
        <v>0</v>
      </c>
      <c r="D118">
        <v>267</v>
      </c>
      <c r="E118">
        <v>0</v>
      </c>
      <c r="F118">
        <v>0</v>
      </c>
      <c r="G118">
        <v>0</v>
      </c>
      <c r="H118">
        <v>0</v>
      </c>
      <c r="I118">
        <v>1067</v>
      </c>
      <c r="J118">
        <v>175</v>
      </c>
      <c r="K118">
        <v>78</v>
      </c>
      <c r="L118">
        <v>21.3</v>
      </c>
      <c r="M118">
        <v>20</v>
      </c>
      <c r="N118">
        <v>90</v>
      </c>
      <c r="O118">
        <v>148.87</v>
      </c>
      <c r="P118">
        <v>138.45392000000001</v>
      </c>
      <c r="Q118">
        <v>10.41608154</v>
      </c>
      <c r="R118" s="4">
        <f>B118*_xlfn.XLOOKUP("Cement",Emission_Factors!$A$2:$A$13,Emission_Factors!$C$2:$C$13)+C118*_xlfn.XLOOKUP("Slag",Emission_Factors!$A$2:$A$13,Emission_Factors!$C$2:$C$13)+D118*_xlfn.XLOOKUP("Silica_Fume",Emission_Factors!$A$2:$A$13,Emission_Factors!$C$2:$C$13)+E118*_xlfn.XLOOKUP("Limestone_Powder",Emission_Factors!$A$2:$A$13,Emission_Factors!$C$2:$C$13)+F118*_xlfn.XLOOKUP("Quartz_Powder",Emission_Factors!$A$2:$A$13,Emission_Factors!$C$2:$C$13)+G118*_xlfn.XLOOKUP("Fly_Ash",Emission_Factors!$A$2:$A$13,Emission_Factors!$C$2:$C$13)+H118*_xlfn.XLOOKUP("Nano_Silica",Emission_Factors!$A$2:$A$13,Emission_Factors!$C$2:$C$13)+I118*_xlfn.XLOOKUP("Aggregate",Emission_Factors!$A$2:$A$13,Emission_Factors!$C$2:$C$13)+J118*_xlfn.XLOOKUP("Water",Emission_Factors!$A$2:$A$13,Emission_Factors!$C$2:$C$13)+K118*_xlfn.XLOOKUP("Fiber_Virgin",Emission_Factors!$A$2:$A$13,Emission_Factors!$C$2:$C$13)+L118*_xlfn.XLOOKUP("Superplasticizer",Emission_Factors!$A$2:$A$13,Emission_Factors!$C$2:$C$13)</f>
        <v>888.21450000000016</v>
      </c>
      <c r="S118" s="4">
        <f>B118*_xlfn.XLOOKUP("Cement",Emission_Factors!$A$2:$A$13,Emission_Factors!$C$2:$C$13)+C118*_xlfn.XLOOKUP("Slag",Emission_Factors!$A$2:$A$13,Emission_Factors!$C$2:$C$13)+D118*_xlfn.XLOOKUP("Silica_Fume",Emission_Factors!$A$2:$A$13,Emission_Factors!$C$2:$C$13)+E118*_xlfn.XLOOKUP("Limestone_Powder",Emission_Factors!$A$2:$A$13,Emission_Factors!$C$2:$C$13)+F118*_xlfn.XLOOKUP("Quartz_Powder",Emission_Factors!$A$2:$A$13,Emission_Factors!$C$2:$C$13)+G118*_xlfn.XLOOKUP("Fly_Ash",Emission_Factors!$A$2:$A$13,Emission_Factors!$C$2:$C$13)+H118*_xlfn.XLOOKUP("Nano_Silica",Emission_Factors!$A$2:$A$13,Emission_Factors!$C$2:$C$13)+I118*_xlfn.XLOOKUP("Aggregate",Emission_Factors!$A$2:$A$13,Emission_Factors!$C$2:$C$13)+J118*_xlfn.XLOOKUP("Water",Emission_Factors!$A$2:$A$13,Emission_Factors!$C$2:$C$13)+K118*_xlfn.XLOOKUP("Fiber_Recycled",Emission_Factors!$A$2:$A$13,Emission_Factors!$C$2:$C$13)+L118*_xlfn.XLOOKUP("Superplasticizer",Emission_Factors!$A$2:$A$13,Emission_Factors!$C$2:$C$13)</f>
        <v>763.4145000000002</v>
      </c>
    </row>
    <row r="119" spans="1:19" x14ac:dyDescent="0.25">
      <c r="A119">
        <v>586</v>
      </c>
      <c r="B119">
        <v>960</v>
      </c>
      <c r="C119">
        <v>0</v>
      </c>
      <c r="D119">
        <v>240</v>
      </c>
      <c r="E119">
        <v>0</v>
      </c>
      <c r="F119">
        <v>0</v>
      </c>
      <c r="G119">
        <v>0</v>
      </c>
      <c r="H119">
        <v>0</v>
      </c>
      <c r="I119">
        <v>780.5</v>
      </c>
      <c r="J119">
        <v>234</v>
      </c>
      <c r="K119">
        <v>39</v>
      </c>
      <c r="L119">
        <v>45</v>
      </c>
      <c r="M119">
        <v>23</v>
      </c>
      <c r="N119">
        <v>28</v>
      </c>
      <c r="O119">
        <v>150.1</v>
      </c>
      <c r="P119">
        <v>148.93720999999999</v>
      </c>
      <c r="Q119">
        <v>1.162789917</v>
      </c>
      <c r="R119" s="4">
        <f>B119*_xlfn.XLOOKUP("Cement",Emission_Factors!$A$2:$A$13,Emission_Factors!$C$2:$C$13)+C119*_xlfn.XLOOKUP("Slag",Emission_Factors!$A$2:$A$13,Emission_Factors!$C$2:$C$13)+D119*_xlfn.XLOOKUP("Silica_Fume",Emission_Factors!$A$2:$A$13,Emission_Factors!$C$2:$C$13)+E119*_xlfn.XLOOKUP("Limestone_Powder",Emission_Factors!$A$2:$A$13,Emission_Factors!$C$2:$C$13)+F119*_xlfn.XLOOKUP("Quartz_Powder",Emission_Factors!$A$2:$A$13,Emission_Factors!$C$2:$C$13)+G119*_xlfn.XLOOKUP("Fly_Ash",Emission_Factors!$A$2:$A$13,Emission_Factors!$C$2:$C$13)+H119*_xlfn.XLOOKUP("Nano_Silica",Emission_Factors!$A$2:$A$13,Emission_Factors!$C$2:$C$13)+I119*_xlfn.XLOOKUP("Aggregate",Emission_Factors!$A$2:$A$13,Emission_Factors!$C$2:$C$13)+J119*_xlfn.XLOOKUP("Water",Emission_Factors!$A$2:$A$13,Emission_Factors!$C$2:$C$13)+K119*_xlfn.XLOOKUP("Fiber_Virgin",Emission_Factors!$A$2:$A$13,Emission_Factors!$C$2:$C$13)+L119*_xlfn.XLOOKUP("Superplasticizer",Emission_Factors!$A$2:$A$13,Emission_Factors!$C$2:$C$13)</f>
        <v>944.08836400000007</v>
      </c>
      <c r="S119" s="4">
        <f>B119*_xlfn.XLOOKUP("Cement",Emission_Factors!$A$2:$A$13,Emission_Factors!$C$2:$C$13)+C119*_xlfn.XLOOKUP("Slag",Emission_Factors!$A$2:$A$13,Emission_Factors!$C$2:$C$13)+D119*_xlfn.XLOOKUP("Silica_Fume",Emission_Factors!$A$2:$A$13,Emission_Factors!$C$2:$C$13)+E119*_xlfn.XLOOKUP("Limestone_Powder",Emission_Factors!$A$2:$A$13,Emission_Factors!$C$2:$C$13)+F119*_xlfn.XLOOKUP("Quartz_Powder",Emission_Factors!$A$2:$A$13,Emission_Factors!$C$2:$C$13)+G119*_xlfn.XLOOKUP("Fly_Ash",Emission_Factors!$A$2:$A$13,Emission_Factors!$C$2:$C$13)+H119*_xlfn.XLOOKUP("Nano_Silica",Emission_Factors!$A$2:$A$13,Emission_Factors!$C$2:$C$13)+I119*_xlfn.XLOOKUP("Aggregate",Emission_Factors!$A$2:$A$13,Emission_Factors!$C$2:$C$13)+J119*_xlfn.XLOOKUP("Water",Emission_Factors!$A$2:$A$13,Emission_Factors!$C$2:$C$13)+K119*_xlfn.XLOOKUP("Fiber_Recycled",Emission_Factors!$A$2:$A$13,Emission_Factors!$C$2:$C$13)+L119*_xlfn.XLOOKUP("Superplasticizer",Emission_Factors!$A$2:$A$13,Emission_Factors!$C$2:$C$13)</f>
        <v>881.68836400000009</v>
      </c>
    </row>
    <row r="120" spans="1:19" x14ac:dyDescent="0.25">
      <c r="A120">
        <v>588</v>
      </c>
      <c r="B120">
        <v>792</v>
      </c>
      <c r="C120">
        <v>0</v>
      </c>
      <c r="D120">
        <v>264</v>
      </c>
      <c r="E120">
        <v>0</v>
      </c>
      <c r="F120">
        <v>0</v>
      </c>
      <c r="G120">
        <v>0</v>
      </c>
      <c r="H120">
        <v>0</v>
      </c>
      <c r="I120">
        <v>1056</v>
      </c>
      <c r="J120">
        <v>173</v>
      </c>
      <c r="K120">
        <v>156</v>
      </c>
      <c r="L120">
        <v>21.1</v>
      </c>
      <c r="M120">
        <v>20</v>
      </c>
      <c r="N120">
        <v>28</v>
      </c>
      <c r="O120">
        <v>150.13</v>
      </c>
      <c r="P120">
        <v>149.63641000000001</v>
      </c>
      <c r="Q120">
        <v>0.49358642600000002</v>
      </c>
      <c r="R120" s="4">
        <f>B120*_xlfn.XLOOKUP("Cement",Emission_Factors!$A$2:$A$13,Emission_Factors!$C$2:$C$13)+C120*_xlfn.XLOOKUP("Slag",Emission_Factors!$A$2:$A$13,Emission_Factors!$C$2:$C$13)+D120*_xlfn.XLOOKUP("Silica_Fume",Emission_Factors!$A$2:$A$13,Emission_Factors!$C$2:$C$13)+E120*_xlfn.XLOOKUP("Limestone_Powder",Emission_Factors!$A$2:$A$13,Emission_Factors!$C$2:$C$13)+F120*_xlfn.XLOOKUP("Quartz_Powder",Emission_Factors!$A$2:$A$13,Emission_Factors!$C$2:$C$13)+G120*_xlfn.XLOOKUP("Fly_Ash",Emission_Factors!$A$2:$A$13,Emission_Factors!$C$2:$C$13)+H120*_xlfn.XLOOKUP("Nano_Silica",Emission_Factors!$A$2:$A$13,Emission_Factors!$C$2:$C$13)+I120*_xlfn.XLOOKUP("Aggregate",Emission_Factors!$A$2:$A$13,Emission_Factors!$C$2:$C$13)+J120*_xlfn.XLOOKUP("Water",Emission_Factors!$A$2:$A$13,Emission_Factors!$C$2:$C$13)+K120*_xlfn.XLOOKUP("Fiber_Virgin",Emission_Factors!$A$2:$A$13,Emission_Factors!$C$2:$C$13)+L120*_xlfn.XLOOKUP("Superplasticizer",Emission_Factors!$A$2:$A$13,Emission_Factors!$C$2:$C$13)</f>
        <v>1076.2883080000001</v>
      </c>
      <c r="S120" s="4">
        <f>B120*_xlfn.XLOOKUP("Cement",Emission_Factors!$A$2:$A$13,Emission_Factors!$C$2:$C$13)+C120*_xlfn.XLOOKUP("Slag",Emission_Factors!$A$2:$A$13,Emission_Factors!$C$2:$C$13)+D120*_xlfn.XLOOKUP("Silica_Fume",Emission_Factors!$A$2:$A$13,Emission_Factors!$C$2:$C$13)+E120*_xlfn.XLOOKUP("Limestone_Powder",Emission_Factors!$A$2:$A$13,Emission_Factors!$C$2:$C$13)+F120*_xlfn.XLOOKUP("Quartz_Powder",Emission_Factors!$A$2:$A$13,Emission_Factors!$C$2:$C$13)+G120*_xlfn.XLOOKUP("Fly_Ash",Emission_Factors!$A$2:$A$13,Emission_Factors!$C$2:$C$13)+H120*_xlfn.XLOOKUP("Nano_Silica",Emission_Factors!$A$2:$A$13,Emission_Factors!$C$2:$C$13)+I120*_xlfn.XLOOKUP("Aggregate",Emission_Factors!$A$2:$A$13,Emission_Factors!$C$2:$C$13)+J120*_xlfn.XLOOKUP("Water",Emission_Factors!$A$2:$A$13,Emission_Factors!$C$2:$C$13)+K120*_xlfn.XLOOKUP("Fiber_Recycled",Emission_Factors!$A$2:$A$13,Emission_Factors!$C$2:$C$13)+L120*_xlfn.XLOOKUP("Superplasticizer",Emission_Factors!$A$2:$A$13,Emission_Factors!$C$2:$C$13)</f>
        <v>826.68830800000001</v>
      </c>
    </row>
    <row r="121" spans="1:19" x14ac:dyDescent="0.25">
      <c r="A121">
        <v>590</v>
      </c>
      <c r="B121">
        <v>937</v>
      </c>
      <c r="C121">
        <v>0</v>
      </c>
      <c r="D121">
        <v>70</v>
      </c>
      <c r="E121">
        <v>47</v>
      </c>
      <c r="F121">
        <v>0</v>
      </c>
      <c r="G121">
        <v>164</v>
      </c>
      <c r="H121">
        <v>0</v>
      </c>
      <c r="I121">
        <v>851</v>
      </c>
      <c r="J121">
        <v>164</v>
      </c>
      <c r="K121">
        <v>78</v>
      </c>
      <c r="L121">
        <v>36.82</v>
      </c>
      <c r="M121">
        <v>23</v>
      </c>
      <c r="N121">
        <v>28</v>
      </c>
      <c r="O121">
        <v>150.82</v>
      </c>
      <c r="P121">
        <v>145.73636999999999</v>
      </c>
      <c r="Q121">
        <v>5.083626099</v>
      </c>
      <c r="R121" s="4">
        <f>B121*_xlfn.XLOOKUP("Cement",Emission_Factors!$A$2:$A$13,Emission_Factors!$C$2:$C$13)+C121*_xlfn.XLOOKUP("Slag",Emission_Factors!$A$2:$A$13,Emission_Factors!$C$2:$C$13)+D121*_xlfn.XLOOKUP("Silica_Fume",Emission_Factors!$A$2:$A$13,Emission_Factors!$C$2:$C$13)+E121*_xlfn.XLOOKUP("Limestone_Powder",Emission_Factors!$A$2:$A$13,Emission_Factors!$C$2:$C$13)+F121*_xlfn.XLOOKUP("Quartz_Powder",Emission_Factors!$A$2:$A$13,Emission_Factors!$C$2:$C$13)+G121*_xlfn.XLOOKUP("Fly_Ash",Emission_Factors!$A$2:$A$13,Emission_Factors!$C$2:$C$13)+H121*_xlfn.XLOOKUP("Nano_Silica",Emission_Factors!$A$2:$A$13,Emission_Factors!$C$2:$C$13)+I121*_xlfn.XLOOKUP("Aggregate",Emission_Factors!$A$2:$A$13,Emission_Factors!$C$2:$C$13)+J121*_xlfn.XLOOKUP("Water",Emission_Factors!$A$2:$A$13,Emission_Factors!$C$2:$C$13)+K121*_xlfn.XLOOKUP("Fiber_Virgin",Emission_Factors!$A$2:$A$13,Emission_Factors!$C$2:$C$13)+L121*_xlfn.XLOOKUP("Superplasticizer",Emission_Factors!$A$2:$A$13,Emission_Factors!$C$2:$C$13)</f>
        <v>1015.0102239999999</v>
      </c>
      <c r="S121" s="4">
        <f>B121*_xlfn.XLOOKUP("Cement",Emission_Factors!$A$2:$A$13,Emission_Factors!$C$2:$C$13)+C121*_xlfn.XLOOKUP("Slag",Emission_Factors!$A$2:$A$13,Emission_Factors!$C$2:$C$13)+D121*_xlfn.XLOOKUP("Silica_Fume",Emission_Factors!$A$2:$A$13,Emission_Factors!$C$2:$C$13)+E121*_xlfn.XLOOKUP("Limestone_Powder",Emission_Factors!$A$2:$A$13,Emission_Factors!$C$2:$C$13)+F121*_xlfn.XLOOKUP("Quartz_Powder",Emission_Factors!$A$2:$A$13,Emission_Factors!$C$2:$C$13)+G121*_xlfn.XLOOKUP("Fly_Ash",Emission_Factors!$A$2:$A$13,Emission_Factors!$C$2:$C$13)+H121*_xlfn.XLOOKUP("Nano_Silica",Emission_Factors!$A$2:$A$13,Emission_Factors!$C$2:$C$13)+I121*_xlfn.XLOOKUP("Aggregate",Emission_Factors!$A$2:$A$13,Emission_Factors!$C$2:$C$13)+J121*_xlfn.XLOOKUP("Water",Emission_Factors!$A$2:$A$13,Emission_Factors!$C$2:$C$13)+K121*_xlfn.XLOOKUP("Fiber_Recycled",Emission_Factors!$A$2:$A$13,Emission_Factors!$C$2:$C$13)+L121*_xlfn.XLOOKUP("Superplasticizer",Emission_Factors!$A$2:$A$13,Emission_Factors!$C$2:$C$13)</f>
        <v>890.21022399999993</v>
      </c>
    </row>
    <row r="122" spans="1:19" x14ac:dyDescent="0.25">
      <c r="A122">
        <v>608</v>
      </c>
      <c r="B122">
        <v>758</v>
      </c>
      <c r="C122">
        <v>0</v>
      </c>
      <c r="D122">
        <v>190</v>
      </c>
      <c r="E122">
        <v>0</v>
      </c>
      <c r="F122">
        <v>0</v>
      </c>
      <c r="G122">
        <v>184</v>
      </c>
      <c r="H122">
        <v>0</v>
      </c>
      <c r="I122">
        <v>1138</v>
      </c>
      <c r="J122">
        <v>166.76</v>
      </c>
      <c r="K122">
        <v>0</v>
      </c>
      <c r="L122">
        <v>27</v>
      </c>
      <c r="M122">
        <v>20</v>
      </c>
      <c r="N122">
        <v>28</v>
      </c>
      <c r="O122">
        <v>155</v>
      </c>
      <c r="P122">
        <v>166.24815000000001</v>
      </c>
      <c r="Q122">
        <v>-11.248153690000001</v>
      </c>
      <c r="R122" s="4">
        <f>B122*_xlfn.XLOOKUP("Cement",Emission_Factors!$A$2:$A$13,Emission_Factors!$C$2:$C$13)+C122*_xlfn.XLOOKUP("Slag",Emission_Factors!$A$2:$A$13,Emission_Factors!$C$2:$C$13)+D122*_xlfn.XLOOKUP("Silica_Fume",Emission_Factors!$A$2:$A$13,Emission_Factors!$C$2:$C$13)+E122*_xlfn.XLOOKUP("Limestone_Powder",Emission_Factors!$A$2:$A$13,Emission_Factors!$C$2:$C$13)+F122*_xlfn.XLOOKUP("Quartz_Powder",Emission_Factors!$A$2:$A$13,Emission_Factors!$C$2:$C$13)+G122*_xlfn.XLOOKUP("Fly_Ash",Emission_Factors!$A$2:$A$13,Emission_Factors!$C$2:$C$13)+H122*_xlfn.XLOOKUP("Nano_Silica",Emission_Factors!$A$2:$A$13,Emission_Factors!$C$2:$C$13)+I122*_xlfn.XLOOKUP("Aggregate",Emission_Factors!$A$2:$A$13,Emission_Factors!$C$2:$C$13)+J122*_xlfn.XLOOKUP("Water",Emission_Factors!$A$2:$A$13,Emission_Factors!$C$2:$C$13)+K122*_xlfn.XLOOKUP("Fiber_Virgin",Emission_Factors!$A$2:$A$13,Emission_Factors!$C$2:$C$13)+L122*_xlfn.XLOOKUP("Superplasticizer",Emission_Factors!$A$2:$A$13,Emission_Factors!$C$2:$C$13)</f>
        <v>664.66668495999988</v>
      </c>
      <c r="S122" s="4">
        <f>B122*_xlfn.XLOOKUP("Cement",Emission_Factors!$A$2:$A$13,Emission_Factors!$C$2:$C$13)+C122*_xlfn.XLOOKUP("Slag",Emission_Factors!$A$2:$A$13,Emission_Factors!$C$2:$C$13)+D122*_xlfn.XLOOKUP("Silica_Fume",Emission_Factors!$A$2:$A$13,Emission_Factors!$C$2:$C$13)+E122*_xlfn.XLOOKUP("Limestone_Powder",Emission_Factors!$A$2:$A$13,Emission_Factors!$C$2:$C$13)+F122*_xlfn.XLOOKUP("Quartz_Powder",Emission_Factors!$A$2:$A$13,Emission_Factors!$C$2:$C$13)+G122*_xlfn.XLOOKUP("Fly_Ash",Emission_Factors!$A$2:$A$13,Emission_Factors!$C$2:$C$13)+H122*_xlfn.XLOOKUP("Nano_Silica",Emission_Factors!$A$2:$A$13,Emission_Factors!$C$2:$C$13)+I122*_xlfn.XLOOKUP("Aggregate",Emission_Factors!$A$2:$A$13,Emission_Factors!$C$2:$C$13)+J122*_xlfn.XLOOKUP("Water",Emission_Factors!$A$2:$A$13,Emission_Factors!$C$2:$C$13)+K122*_xlfn.XLOOKUP("Fiber_Recycled",Emission_Factors!$A$2:$A$13,Emission_Factors!$C$2:$C$13)+L122*_xlfn.XLOOKUP("Superplasticizer",Emission_Factors!$A$2:$A$13,Emission_Factors!$C$2:$C$13)</f>
        <v>664.66668495999988</v>
      </c>
    </row>
    <row r="123" spans="1:19" x14ac:dyDescent="0.25">
      <c r="A123">
        <v>610</v>
      </c>
      <c r="B123">
        <v>958.55</v>
      </c>
      <c r="C123">
        <v>0</v>
      </c>
      <c r="D123">
        <v>50.45</v>
      </c>
      <c r="E123">
        <v>0</v>
      </c>
      <c r="F123">
        <v>0</v>
      </c>
      <c r="G123">
        <v>0</v>
      </c>
      <c r="H123">
        <v>0</v>
      </c>
      <c r="I123">
        <v>1231</v>
      </c>
      <c r="J123">
        <v>201.8</v>
      </c>
      <c r="K123">
        <v>0</v>
      </c>
      <c r="L123">
        <v>34.200000000000003</v>
      </c>
      <c r="M123">
        <v>21</v>
      </c>
      <c r="N123">
        <v>90</v>
      </c>
      <c r="O123">
        <v>155.19999999999999</v>
      </c>
      <c r="P123">
        <v>141.96169</v>
      </c>
      <c r="Q123">
        <v>13.238314819999999</v>
      </c>
      <c r="R123" s="4">
        <f>B123*_xlfn.XLOOKUP("Cement",Emission_Factors!$A$2:$A$13,Emission_Factors!$C$2:$C$13)+C123*_xlfn.XLOOKUP("Slag",Emission_Factors!$A$2:$A$13,Emission_Factors!$C$2:$C$13)+D123*_xlfn.XLOOKUP("Silica_Fume",Emission_Factors!$A$2:$A$13,Emission_Factors!$C$2:$C$13)+E123*_xlfn.XLOOKUP("Limestone_Powder",Emission_Factors!$A$2:$A$13,Emission_Factors!$C$2:$C$13)+F123*_xlfn.XLOOKUP("Quartz_Powder",Emission_Factors!$A$2:$A$13,Emission_Factors!$C$2:$C$13)+G123*_xlfn.XLOOKUP("Fly_Ash",Emission_Factors!$A$2:$A$13,Emission_Factors!$C$2:$C$13)+H123*_xlfn.XLOOKUP("Nano_Silica",Emission_Factors!$A$2:$A$13,Emission_Factors!$C$2:$C$13)+I123*_xlfn.XLOOKUP("Aggregate",Emission_Factors!$A$2:$A$13,Emission_Factors!$C$2:$C$13)+J123*_xlfn.XLOOKUP("Water",Emission_Factors!$A$2:$A$13,Emission_Factors!$C$2:$C$13)+K123*_xlfn.XLOOKUP("Fiber_Virgin",Emission_Factors!$A$2:$A$13,Emission_Factors!$C$2:$C$13)+L123*_xlfn.XLOOKUP("Superplasticizer",Emission_Factors!$A$2:$A$13,Emission_Factors!$C$2:$C$13)</f>
        <v>834.78215279999995</v>
      </c>
      <c r="S123" s="4">
        <f>B123*_xlfn.XLOOKUP("Cement",Emission_Factors!$A$2:$A$13,Emission_Factors!$C$2:$C$13)+C123*_xlfn.XLOOKUP("Slag",Emission_Factors!$A$2:$A$13,Emission_Factors!$C$2:$C$13)+D123*_xlfn.XLOOKUP("Silica_Fume",Emission_Factors!$A$2:$A$13,Emission_Factors!$C$2:$C$13)+E123*_xlfn.XLOOKUP("Limestone_Powder",Emission_Factors!$A$2:$A$13,Emission_Factors!$C$2:$C$13)+F123*_xlfn.XLOOKUP("Quartz_Powder",Emission_Factors!$A$2:$A$13,Emission_Factors!$C$2:$C$13)+G123*_xlfn.XLOOKUP("Fly_Ash",Emission_Factors!$A$2:$A$13,Emission_Factors!$C$2:$C$13)+H123*_xlfn.XLOOKUP("Nano_Silica",Emission_Factors!$A$2:$A$13,Emission_Factors!$C$2:$C$13)+I123*_xlfn.XLOOKUP("Aggregate",Emission_Factors!$A$2:$A$13,Emission_Factors!$C$2:$C$13)+J123*_xlfn.XLOOKUP("Water",Emission_Factors!$A$2:$A$13,Emission_Factors!$C$2:$C$13)+K123*_xlfn.XLOOKUP("Fiber_Recycled",Emission_Factors!$A$2:$A$13,Emission_Factors!$C$2:$C$13)+L123*_xlfn.XLOOKUP("Superplasticizer",Emission_Factors!$A$2:$A$13,Emission_Factors!$C$2:$C$13)</f>
        <v>834.78215279999995</v>
      </c>
    </row>
    <row r="124" spans="1:19" x14ac:dyDescent="0.25">
      <c r="A124">
        <v>620</v>
      </c>
      <c r="B124">
        <v>480</v>
      </c>
      <c r="C124">
        <v>0</v>
      </c>
      <c r="D124">
        <v>171</v>
      </c>
      <c r="E124">
        <v>0</v>
      </c>
      <c r="F124">
        <v>0</v>
      </c>
      <c r="G124">
        <v>206</v>
      </c>
      <c r="H124">
        <v>0</v>
      </c>
      <c r="I124">
        <v>1150</v>
      </c>
      <c r="J124">
        <v>171</v>
      </c>
      <c r="K124">
        <v>156</v>
      </c>
      <c r="L124">
        <v>33</v>
      </c>
      <c r="M124">
        <v>20</v>
      </c>
      <c r="N124">
        <v>28</v>
      </c>
      <c r="O124">
        <v>157</v>
      </c>
      <c r="P124">
        <v>153.97184999999999</v>
      </c>
      <c r="Q124">
        <v>3.0281524659999999</v>
      </c>
      <c r="R124" s="4">
        <f>B124*_xlfn.XLOOKUP("Cement",Emission_Factors!$A$2:$A$13,Emission_Factors!$C$2:$C$13)+C124*_xlfn.XLOOKUP("Slag",Emission_Factors!$A$2:$A$13,Emission_Factors!$C$2:$C$13)+D124*_xlfn.XLOOKUP("Silica_Fume",Emission_Factors!$A$2:$A$13,Emission_Factors!$C$2:$C$13)+E124*_xlfn.XLOOKUP("Limestone_Powder",Emission_Factors!$A$2:$A$13,Emission_Factors!$C$2:$C$13)+F124*_xlfn.XLOOKUP("Quartz_Powder",Emission_Factors!$A$2:$A$13,Emission_Factors!$C$2:$C$13)+G124*_xlfn.XLOOKUP("Fly_Ash",Emission_Factors!$A$2:$A$13,Emission_Factors!$C$2:$C$13)+H124*_xlfn.XLOOKUP("Nano_Silica",Emission_Factors!$A$2:$A$13,Emission_Factors!$C$2:$C$13)+I124*_xlfn.XLOOKUP("Aggregate",Emission_Factors!$A$2:$A$13,Emission_Factors!$C$2:$C$13)+J124*_xlfn.XLOOKUP("Water",Emission_Factors!$A$2:$A$13,Emission_Factors!$C$2:$C$13)+K124*_xlfn.XLOOKUP("Fiber_Virgin",Emission_Factors!$A$2:$A$13,Emission_Factors!$C$2:$C$13)+L124*_xlfn.XLOOKUP("Superplasticizer",Emission_Factors!$A$2:$A$13,Emission_Factors!$C$2:$C$13)</f>
        <v>829.58351600000003</v>
      </c>
      <c r="S124" s="4">
        <f>B124*_xlfn.XLOOKUP("Cement",Emission_Factors!$A$2:$A$13,Emission_Factors!$C$2:$C$13)+C124*_xlfn.XLOOKUP("Slag",Emission_Factors!$A$2:$A$13,Emission_Factors!$C$2:$C$13)+D124*_xlfn.XLOOKUP("Silica_Fume",Emission_Factors!$A$2:$A$13,Emission_Factors!$C$2:$C$13)+E124*_xlfn.XLOOKUP("Limestone_Powder",Emission_Factors!$A$2:$A$13,Emission_Factors!$C$2:$C$13)+F124*_xlfn.XLOOKUP("Quartz_Powder",Emission_Factors!$A$2:$A$13,Emission_Factors!$C$2:$C$13)+G124*_xlfn.XLOOKUP("Fly_Ash",Emission_Factors!$A$2:$A$13,Emission_Factors!$C$2:$C$13)+H124*_xlfn.XLOOKUP("Nano_Silica",Emission_Factors!$A$2:$A$13,Emission_Factors!$C$2:$C$13)+I124*_xlfn.XLOOKUP("Aggregate",Emission_Factors!$A$2:$A$13,Emission_Factors!$C$2:$C$13)+J124*_xlfn.XLOOKUP("Water",Emission_Factors!$A$2:$A$13,Emission_Factors!$C$2:$C$13)+K124*_xlfn.XLOOKUP("Fiber_Recycled",Emission_Factors!$A$2:$A$13,Emission_Factors!$C$2:$C$13)+L124*_xlfn.XLOOKUP("Superplasticizer",Emission_Factors!$A$2:$A$13,Emission_Factors!$C$2:$C$13)</f>
        <v>579.98351600000001</v>
      </c>
    </row>
    <row r="125" spans="1:19" x14ac:dyDescent="0.25">
      <c r="A125">
        <v>623</v>
      </c>
      <c r="B125">
        <v>741</v>
      </c>
      <c r="C125">
        <v>0</v>
      </c>
      <c r="D125">
        <v>185</v>
      </c>
      <c r="E125">
        <v>194.25</v>
      </c>
      <c r="F125">
        <v>64.75</v>
      </c>
      <c r="G125">
        <v>0</v>
      </c>
      <c r="H125">
        <v>0</v>
      </c>
      <c r="I125">
        <v>815</v>
      </c>
      <c r="J125">
        <v>185</v>
      </c>
      <c r="K125">
        <v>156</v>
      </c>
      <c r="L125">
        <v>9</v>
      </c>
      <c r="M125">
        <v>30</v>
      </c>
      <c r="N125">
        <v>28</v>
      </c>
      <c r="O125">
        <v>158</v>
      </c>
      <c r="P125">
        <v>157.75414000000001</v>
      </c>
      <c r="Q125">
        <v>0.24586486799999999</v>
      </c>
      <c r="R125" s="4">
        <f>B125*_xlfn.XLOOKUP("Cement",Emission_Factors!$A$2:$A$13,Emission_Factors!$C$2:$C$13)+C125*_xlfn.XLOOKUP("Slag",Emission_Factors!$A$2:$A$13,Emission_Factors!$C$2:$C$13)+D125*_xlfn.XLOOKUP("Silica_Fume",Emission_Factors!$A$2:$A$13,Emission_Factors!$C$2:$C$13)+E125*_xlfn.XLOOKUP("Limestone_Powder",Emission_Factors!$A$2:$A$13,Emission_Factors!$C$2:$C$13)+F125*_xlfn.XLOOKUP("Quartz_Powder",Emission_Factors!$A$2:$A$13,Emission_Factors!$C$2:$C$13)+G125*_xlfn.XLOOKUP("Fly_Ash",Emission_Factors!$A$2:$A$13,Emission_Factors!$C$2:$C$13)+H125*_xlfn.XLOOKUP("Nano_Silica",Emission_Factors!$A$2:$A$13,Emission_Factors!$C$2:$C$13)+I125*_xlfn.XLOOKUP("Aggregate",Emission_Factors!$A$2:$A$13,Emission_Factors!$C$2:$C$13)+J125*_xlfn.XLOOKUP("Water",Emission_Factors!$A$2:$A$13,Emission_Factors!$C$2:$C$13)+K125*_xlfn.XLOOKUP("Fiber_Virgin",Emission_Factors!$A$2:$A$13,Emission_Factors!$C$2:$C$13)+L125*_xlfn.XLOOKUP("Superplasticizer",Emission_Factors!$A$2:$A$13,Emission_Factors!$C$2:$C$13)</f>
        <v>1025.064085</v>
      </c>
      <c r="S125" s="4">
        <f>B125*_xlfn.XLOOKUP("Cement",Emission_Factors!$A$2:$A$13,Emission_Factors!$C$2:$C$13)+C125*_xlfn.XLOOKUP("Slag",Emission_Factors!$A$2:$A$13,Emission_Factors!$C$2:$C$13)+D125*_xlfn.XLOOKUP("Silica_Fume",Emission_Factors!$A$2:$A$13,Emission_Factors!$C$2:$C$13)+E125*_xlfn.XLOOKUP("Limestone_Powder",Emission_Factors!$A$2:$A$13,Emission_Factors!$C$2:$C$13)+F125*_xlfn.XLOOKUP("Quartz_Powder",Emission_Factors!$A$2:$A$13,Emission_Factors!$C$2:$C$13)+G125*_xlfn.XLOOKUP("Fly_Ash",Emission_Factors!$A$2:$A$13,Emission_Factors!$C$2:$C$13)+H125*_xlfn.XLOOKUP("Nano_Silica",Emission_Factors!$A$2:$A$13,Emission_Factors!$C$2:$C$13)+I125*_xlfn.XLOOKUP("Aggregate",Emission_Factors!$A$2:$A$13,Emission_Factors!$C$2:$C$13)+J125*_xlfn.XLOOKUP("Water",Emission_Factors!$A$2:$A$13,Emission_Factors!$C$2:$C$13)+K125*_xlfn.XLOOKUP("Fiber_Recycled",Emission_Factors!$A$2:$A$13,Emission_Factors!$C$2:$C$13)+L125*_xlfn.XLOOKUP("Superplasticizer",Emission_Factors!$A$2:$A$13,Emission_Factors!$C$2:$C$13)</f>
        <v>775.46408499999995</v>
      </c>
    </row>
    <row r="126" spans="1:19" x14ac:dyDescent="0.25">
      <c r="A126">
        <v>634</v>
      </c>
      <c r="B126">
        <v>630</v>
      </c>
      <c r="C126">
        <v>0</v>
      </c>
      <c r="D126">
        <v>70</v>
      </c>
      <c r="E126">
        <v>0</v>
      </c>
      <c r="F126">
        <v>0</v>
      </c>
      <c r="G126">
        <v>0</v>
      </c>
      <c r="H126">
        <v>0</v>
      </c>
      <c r="I126">
        <v>1788</v>
      </c>
      <c r="J126">
        <v>126</v>
      </c>
      <c r="K126">
        <v>0</v>
      </c>
      <c r="L126">
        <v>18</v>
      </c>
      <c r="M126">
        <v>20</v>
      </c>
      <c r="N126">
        <v>90</v>
      </c>
      <c r="O126">
        <v>160</v>
      </c>
      <c r="P126">
        <v>163.75362999999999</v>
      </c>
      <c r="Q126">
        <v>-3.7536315920000001</v>
      </c>
      <c r="R126" s="4">
        <f>B126*_xlfn.XLOOKUP("Cement",Emission_Factors!$A$2:$A$13,Emission_Factors!$C$2:$C$13)+C126*_xlfn.XLOOKUP("Slag",Emission_Factors!$A$2:$A$13,Emission_Factors!$C$2:$C$13)+D126*_xlfn.XLOOKUP("Silica_Fume",Emission_Factors!$A$2:$A$13,Emission_Factors!$C$2:$C$13)+E126*_xlfn.XLOOKUP("Limestone_Powder",Emission_Factors!$A$2:$A$13,Emission_Factors!$C$2:$C$13)+F126*_xlfn.XLOOKUP("Quartz_Powder",Emission_Factors!$A$2:$A$13,Emission_Factors!$C$2:$C$13)+G126*_xlfn.XLOOKUP("Fly_Ash",Emission_Factors!$A$2:$A$13,Emission_Factors!$C$2:$C$13)+H126*_xlfn.XLOOKUP("Nano_Silica",Emission_Factors!$A$2:$A$13,Emission_Factors!$C$2:$C$13)+I126*_xlfn.XLOOKUP("Aggregate",Emission_Factors!$A$2:$A$13,Emission_Factors!$C$2:$C$13)+J126*_xlfn.XLOOKUP("Water",Emission_Factors!$A$2:$A$13,Emission_Factors!$C$2:$C$13)+K126*_xlfn.XLOOKUP("Fiber_Virgin",Emission_Factors!$A$2:$A$13,Emission_Factors!$C$2:$C$13)+L126*_xlfn.XLOOKUP("Superplasticizer",Emission_Factors!$A$2:$A$13,Emission_Factors!$C$2:$C$13)</f>
        <v>549.83669599999996</v>
      </c>
      <c r="S126" s="4">
        <f>B126*_xlfn.XLOOKUP("Cement",Emission_Factors!$A$2:$A$13,Emission_Factors!$C$2:$C$13)+C126*_xlfn.XLOOKUP("Slag",Emission_Factors!$A$2:$A$13,Emission_Factors!$C$2:$C$13)+D126*_xlfn.XLOOKUP("Silica_Fume",Emission_Factors!$A$2:$A$13,Emission_Factors!$C$2:$C$13)+E126*_xlfn.XLOOKUP("Limestone_Powder",Emission_Factors!$A$2:$A$13,Emission_Factors!$C$2:$C$13)+F126*_xlfn.XLOOKUP("Quartz_Powder",Emission_Factors!$A$2:$A$13,Emission_Factors!$C$2:$C$13)+G126*_xlfn.XLOOKUP("Fly_Ash",Emission_Factors!$A$2:$A$13,Emission_Factors!$C$2:$C$13)+H126*_xlfn.XLOOKUP("Nano_Silica",Emission_Factors!$A$2:$A$13,Emission_Factors!$C$2:$C$13)+I126*_xlfn.XLOOKUP("Aggregate",Emission_Factors!$A$2:$A$13,Emission_Factors!$C$2:$C$13)+J126*_xlfn.XLOOKUP("Water",Emission_Factors!$A$2:$A$13,Emission_Factors!$C$2:$C$13)+K126*_xlfn.XLOOKUP("Fiber_Recycled",Emission_Factors!$A$2:$A$13,Emission_Factors!$C$2:$C$13)+L126*_xlfn.XLOOKUP("Superplasticizer",Emission_Factors!$A$2:$A$13,Emission_Factors!$C$2:$C$13)</f>
        <v>549.83669599999996</v>
      </c>
    </row>
    <row r="127" spans="1:19" x14ac:dyDescent="0.25">
      <c r="A127">
        <v>638</v>
      </c>
      <c r="B127">
        <v>558.1</v>
      </c>
      <c r="C127">
        <v>62</v>
      </c>
      <c r="D127">
        <v>114.2</v>
      </c>
      <c r="E127">
        <v>0</v>
      </c>
      <c r="F127">
        <v>0</v>
      </c>
      <c r="G127">
        <v>164.9</v>
      </c>
      <c r="H127">
        <v>0</v>
      </c>
      <c r="I127">
        <v>1276.5999999999999</v>
      </c>
      <c r="J127">
        <v>161.9</v>
      </c>
      <c r="K127">
        <v>156</v>
      </c>
      <c r="L127">
        <v>36</v>
      </c>
      <c r="M127">
        <v>20</v>
      </c>
      <c r="N127">
        <v>14</v>
      </c>
      <c r="O127">
        <v>160.5</v>
      </c>
      <c r="P127">
        <v>154.05260000000001</v>
      </c>
      <c r="Q127">
        <v>6.4474029540000002</v>
      </c>
      <c r="R127" s="4">
        <f>B127*_xlfn.XLOOKUP("Cement",Emission_Factors!$A$2:$A$13,Emission_Factors!$C$2:$C$13)+C127*_xlfn.XLOOKUP("Slag",Emission_Factors!$A$2:$A$13,Emission_Factors!$C$2:$C$13)+D127*_xlfn.XLOOKUP("Silica_Fume",Emission_Factors!$A$2:$A$13,Emission_Factors!$C$2:$C$13)+E127*_xlfn.XLOOKUP("Limestone_Powder",Emission_Factors!$A$2:$A$13,Emission_Factors!$C$2:$C$13)+F127*_xlfn.XLOOKUP("Quartz_Powder",Emission_Factors!$A$2:$A$13,Emission_Factors!$C$2:$C$13)+G127*_xlfn.XLOOKUP("Fly_Ash",Emission_Factors!$A$2:$A$13,Emission_Factors!$C$2:$C$13)+H127*_xlfn.XLOOKUP("Nano_Silica",Emission_Factors!$A$2:$A$13,Emission_Factors!$C$2:$C$13)+I127*_xlfn.XLOOKUP("Aggregate",Emission_Factors!$A$2:$A$13,Emission_Factors!$C$2:$C$13)+J127*_xlfn.XLOOKUP("Water",Emission_Factors!$A$2:$A$13,Emission_Factors!$C$2:$C$13)+K127*_xlfn.XLOOKUP("Fiber_Virgin",Emission_Factors!$A$2:$A$13,Emission_Factors!$C$2:$C$13)+L127*_xlfn.XLOOKUP("Superplasticizer",Emission_Factors!$A$2:$A$13,Emission_Factors!$C$2:$C$13)</f>
        <v>899.92863240000008</v>
      </c>
      <c r="S127" s="4">
        <f>B127*_xlfn.XLOOKUP("Cement",Emission_Factors!$A$2:$A$13,Emission_Factors!$C$2:$C$13)+C127*_xlfn.XLOOKUP("Slag",Emission_Factors!$A$2:$A$13,Emission_Factors!$C$2:$C$13)+D127*_xlfn.XLOOKUP("Silica_Fume",Emission_Factors!$A$2:$A$13,Emission_Factors!$C$2:$C$13)+E127*_xlfn.XLOOKUP("Limestone_Powder",Emission_Factors!$A$2:$A$13,Emission_Factors!$C$2:$C$13)+F127*_xlfn.XLOOKUP("Quartz_Powder",Emission_Factors!$A$2:$A$13,Emission_Factors!$C$2:$C$13)+G127*_xlfn.XLOOKUP("Fly_Ash",Emission_Factors!$A$2:$A$13,Emission_Factors!$C$2:$C$13)+H127*_xlfn.XLOOKUP("Nano_Silica",Emission_Factors!$A$2:$A$13,Emission_Factors!$C$2:$C$13)+I127*_xlfn.XLOOKUP("Aggregate",Emission_Factors!$A$2:$A$13,Emission_Factors!$C$2:$C$13)+J127*_xlfn.XLOOKUP("Water",Emission_Factors!$A$2:$A$13,Emission_Factors!$C$2:$C$13)+K127*_xlfn.XLOOKUP("Fiber_Recycled",Emission_Factors!$A$2:$A$13,Emission_Factors!$C$2:$C$13)+L127*_xlfn.XLOOKUP("Superplasticizer",Emission_Factors!$A$2:$A$13,Emission_Factors!$C$2:$C$13)</f>
        <v>650.32863240000006</v>
      </c>
    </row>
    <row r="128" spans="1:19" x14ac:dyDescent="0.25">
      <c r="A128">
        <v>646</v>
      </c>
      <c r="B128">
        <v>900</v>
      </c>
      <c r="C128">
        <v>0</v>
      </c>
      <c r="D128">
        <v>220</v>
      </c>
      <c r="E128">
        <v>0</v>
      </c>
      <c r="F128">
        <v>0</v>
      </c>
      <c r="G128">
        <v>0</v>
      </c>
      <c r="H128">
        <v>0</v>
      </c>
      <c r="I128">
        <v>1005</v>
      </c>
      <c r="J128">
        <v>163</v>
      </c>
      <c r="K128">
        <v>156</v>
      </c>
      <c r="L128">
        <v>40</v>
      </c>
      <c r="M128">
        <v>23</v>
      </c>
      <c r="N128">
        <v>56</v>
      </c>
      <c r="O128">
        <v>161.6</v>
      </c>
      <c r="P128">
        <v>155.18079</v>
      </c>
      <c r="Q128">
        <v>6.4192138669999999</v>
      </c>
      <c r="R128" s="4">
        <f>B128*_xlfn.XLOOKUP("Cement",Emission_Factors!$A$2:$A$13,Emission_Factors!$C$2:$C$13)+C128*_xlfn.XLOOKUP("Slag",Emission_Factors!$A$2:$A$13,Emission_Factors!$C$2:$C$13)+D128*_xlfn.XLOOKUP("Silica_Fume",Emission_Factors!$A$2:$A$13,Emission_Factors!$C$2:$C$13)+E128*_xlfn.XLOOKUP("Limestone_Powder",Emission_Factors!$A$2:$A$13,Emission_Factors!$C$2:$C$13)+F128*_xlfn.XLOOKUP("Quartz_Powder",Emission_Factors!$A$2:$A$13,Emission_Factors!$C$2:$C$13)+G128*_xlfn.XLOOKUP("Fly_Ash",Emission_Factors!$A$2:$A$13,Emission_Factors!$C$2:$C$13)+H128*_xlfn.XLOOKUP("Nano_Silica",Emission_Factors!$A$2:$A$13,Emission_Factors!$C$2:$C$13)+I128*_xlfn.XLOOKUP("Aggregate",Emission_Factors!$A$2:$A$13,Emission_Factors!$C$2:$C$13)+J128*_xlfn.XLOOKUP("Water",Emission_Factors!$A$2:$A$13,Emission_Factors!$C$2:$C$13)+K128*_xlfn.XLOOKUP("Fiber_Virgin",Emission_Factors!$A$2:$A$13,Emission_Factors!$C$2:$C$13)+L128*_xlfn.XLOOKUP("Superplasticizer",Emission_Factors!$A$2:$A$13,Emission_Factors!$C$2:$C$13)</f>
        <v>1182.8969480000001</v>
      </c>
      <c r="S128" s="4">
        <f>B128*_xlfn.XLOOKUP("Cement",Emission_Factors!$A$2:$A$13,Emission_Factors!$C$2:$C$13)+C128*_xlfn.XLOOKUP("Slag",Emission_Factors!$A$2:$A$13,Emission_Factors!$C$2:$C$13)+D128*_xlfn.XLOOKUP("Silica_Fume",Emission_Factors!$A$2:$A$13,Emission_Factors!$C$2:$C$13)+E128*_xlfn.XLOOKUP("Limestone_Powder",Emission_Factors!$A$2:$A$13,Emission_Factors!$C$2:$C$13)+F128*_xlfn.XLOOKUP("Quartz_Powder",Emission_Factors!$A$2:$A$13,Emission_Factors!$C$2:$C$13)+G128*_xlfn.XLOOKUP("Fly_Ash",Emission_Factors!$A$2:$A$13,Emission_Factors!$C$2:$C$13)+H128*_xlfn.XLOOKUP("Nano_Silica",Emission_Factors!$A$2:$A$13,Emission_Factors!$C$2:$C$13)+I128*_xlfn.XLOOKUP("Aggregate",Emission_Factors!$A$2:$A$13,Emission_Factors!$C$2:$C$13)+J128*_xlfn.XLOOKUP("Water",Emission_Factors!$A$2:$A$13,Emission_Factors!$C$2:$C$13)+K128*_xlfn.XLOOKUP("Fiber_Recycled",Emission_Factors!$A$2:$A$13,Emission_Factors!$C$2:$C$13)+L128*_xlfn.XLOOKUP("Superplasticizer",Emission_Factors!$A$2:$A$13,Emission_Factors!$C$2:$C$13)</f>
        <v>933.29694800000004</v>
      </c>
    </row>
    <row r="129" spans="1:19" x14ac:dyDescent="0.25">
      <c r="A129">
        <v>652</v>
      </c>
      <c r="B129">
        <v>960</v>
      </c>
      <c r="C129">
        <v>0</v>
      </c>
      <c r="D129">
        <v>240</v>
      </c>
      <c r="E129">
        <v>0</v>
      </c>
      <c r="F129">
        <v>0</v>
      </c>
      <c r="G129">
        <v>0</v>
      </c>
      <c r="H129">
        <v>0</v>
      </c>
      <c r="I129">
        <v>740.7</v>
      </c>
      <c r="J129">
        <v>234</v>
      </c>
      <c r="K129">
        <v>156</v>
      </c>
      <c r="L129">
        <v>45</v>
      </c>
      <c r="M129">
        <v>23</v>
      </c>
      <c r="N129">
        <v>28</v>
      </c>
      <c r="O129">
        <v>162.80000000000001</v>
      </c>
      <c r="P129">
        <v>161.52566999999999</v>
      </c>
      <c r="Q129">
        <v>1.2743347169999999</v>
      </c>
      <c r="R129" s="4">
        <f>B129*_xlfn.XLOOKUP("Cement",Emission_Factors!$A$2:$A$13,Emission_Factors!$C$2:$C$13)+C129*_xlfn.XLOOKUP("Slag",Emission_Factors!$A$2:$A$13,Emission_Factors!$C$2:$C$13)+D129*_xlfn.XLOOKUP("Silica_Fume",Emission_Factors!$A$2:$A$13,Emission_Factors!$C$2:$C$13)+E129*_xlfn.XLOOKUP("Limestone_Powder",Emission_Factors!$A$2:$A$13,Emission_Factors!$C$2:$C$13)+F129*_xlfn.XLOOKUP("Quartz_Powder",Emission_Factors!$A$2:$A$13,Emission_Factors!$C$2:$C$13)+G129*_xlfn.XLOOKUP("Fly_Ash",Emission_Factors!$A$2:$A$13,Emission_Factors!$C$2:$C$13)+H129*_xlfn.XLOOKUP("Nano_Silica",Emission_Factors!$A$2:$A$13,Emission_Factors!$C$2:$C$13)+I129*_xlfn.XLOOKUP("Aggregate",Emission_Factors!$A$2:$A$13,Emission_Factors!$C$2:$C$13)+J129*_xlfn.XLOOKUP("Water",Emission_Factors!$A$2:$A$13,Emission_Factors!$C$2:$C$13)+K129*_xlfn.XLOOKUP("Fiber_Virgin",Emission_Factors!$A$2:$A$13,Emission_Factors!$C$2:$C$13)+L129*_xlfn.XLOOKUP("Superplasticizer",Emission_Factors!$A$2:$A$13,Emission_Factors!$C$2:$C$13)</f>
        <v>1236.3893640000001</v>
      </c>
      <c r="S129" s="4">
        <f>B129*_xlfn.XLOOKUP("Cement",Emission_Factors!$A$2:$A$13,Emission_Factors!$C$2:$C$13)+C129*_xlfn.XLOOKUP("Slag",Emission_Factors!$A$2:$A$13,Emission_Factors!$C$2:$C$13)+D129*_xlfn.XLOOKUP("Silica_Fume",Emission_Factors!$A$2:$A$13,Emission_Factors!$C$2:$C$13)+E129*_xlfn.XLOOKUP("Limestone_Powder",Emission_Factors!$A$2:$A$13,Emission_Factors!$C$2:$C$13)+F129*_xlfn.XLOOKUP("Quartz_Powder",Emission_Factors!$A$2:$A$13,Emission_Factors!$C$2:$C$13)+G129*_xlfn.XLOOKUP("Fly_Ash",Emission_Factors!$A$2:$A$13,Emission_Factors!$C$2:$C$13)+H129*_xlfn.XLOOKUP("Nano_Silica",Emission_Factors!$A$2:$A$13,Emission_Factors!$C$2:$C$13)+I129*_xlfn.XLOOKUP("Aggregate",Emission_Factors!$A$2:$A$13,Emission_Factors!$C$2:$C$13)+J129*_xlfn.XLOOKUP("Water",Emission_Factors!$A$2:$A$13,Emission_Factors!$C$2:$C$13)+K129*_xlfn.XLOOKUP("Fiber_Recycled",Emission_Factors!$A$2:$A$13,Emission_Factors!$C$2:$C$13)+L129*_xlfn.XLOOKUP("Superplasticizer",Emission_Factors!$A$2:$A$13,Emission_Factors!$C$2:$C$13)</f>
        <v>986.78936399999998</v>
      </c>
    </row>
    <row r="130" spans="1:19" x14ac:dyDescent="0.25">
      <c r="A130">
        <v>655</v>
      </c>
      <c r="B130">
        <v>960</v>
      </c>
      <c r="C130">
        <v>0</v>
      </c>
      <c r="D130">
        <v>240</v>
      </c>
      <c r="E130">
        <v>0</v>
      </c>
      <c r="F130">
        <v>0</v>
      </c>
      <c r="G130">
        <v>0</v>
      </c>
      <c r="H130">
        <v>0</v>
      </c>
      <c r="I130">
        <v>779.2</v>
      </c>
      <c r="J130">
        <v>234</v>
      </c>
      <c r="K130">
        <v>39</v>
      </c>
      <c r="L130">
        <v>45</v>
      </c>
      <c r="M130">
        <v>23</v>
      </c>
      <c r="N130">
        <v>56</v>
      </c>
      <c r="O130">
        <v>163.30000000000001</v>
      </c>
      <c r="P130">
        <v>161.91659999999999</v>
      </c>
      <c r="Q130">
        <v>1.383404541</v>
      </c>
      <c r="R130" s="4">
        <f>B130*_xlfn.XLOOKUP("Cement",Emission_Factors!$A$2:$A$13,Emission_Factors!$C$2:$C$13)+C130*_xlfn.XLOOKUP("Slag",Emission_Factors!$A$2:$A$13,Emission_Factors!$C$2:$C$13)+D130*_xlfn.XLOOKUP("Silica_Fume",Emission_Factors!$A$2:$A$13,Emission_Factors!$C$2:$C$13)+E130*_xlfn.XLOOKUP("Limestone_Powder",Emission_Factors!$A$2:$A$13,Emission_Factors!$C$2:$C$13)+F130*_xlfn.XLOOKUP("Quartz_Powder",Emission_Factors!$A$2:$A$13,Emission_Factors!$C$2:$C$13)+G130*_xlfn.XLOOKUP("Fly_Ash",Emission_Factors!$A$2:$A$13,Emission_Factors!$C$2:$C$13)+H130*_xlfn.XLOOKUP("Nano_Silica",Emission_Factors!$A$2:$A$13,Emission_Factors!$C$2:$C$13)+I130*_xlfn.XLOOKUP("Aggregate",Emission_Factors!$A$2:$A$13,Emission_Factors!$C$2:$C$13)+J130*_xlfn.XLOOKUP("Water",Emission_Factors!$A$2:$A$13,Emission_Factors!$C$2:$C$13)+K130*_xlfn.XLOOKUP("Fiber_Virgin",Emission_Factors!$A$2:$A$13,Emission_Factors!$C$2:$C$13)+L130*_xlfn.XLOOKUP("Superplasticizer",Emission_Factors!$A$2:$A$13,Emission_Factors!$C$2:$C$13)</f>
        <v>944.081864</v>
      </c>
      <c r="S130" s="4">
        <f>B130*_xlfn.XLOOKUP("Cement",Emission_Factors!$A$2:$A$13,Emission_Factors!$C$2:$C$13)+C130*_xlfn.XLOOKUP("Slag",Emission_Factors!$A$2:$A$13,Emission_Factors!$C$2:$C$13)+D130*_xlfn.XLOOKUP("Silica_Fume",Emission_Factors!$A$2:$A$13,Emission_Factors!$C$2:$C$13)+E130*_xlfn.XLOOKUP("Limestone_Powder",Emission_Factors!$A$2:$A$13,Emission_Factors!$C$2:$C$13)+F130*_xlfn.XLOOKUP("Quartz_Powder",Emission_Factors!$A$2:$A$13,Emission_Factors!$C$2:$C$13)+G130*_xlfn.XLOOKUP("Fly_Ash",Emission_Factors!$A$2:$A$13,Emission_Factors!$C$2:$C$13)+H130*_xlfn.XLOOKUP("Nano_Silica",Emission_Factors!$A$2:$A$13,Emission_Factors!$C$2:$C$13)+I130*_xlfn.XLOOKUP("Aggregate",Emission_Factors!$A$2:$A$13,Emission_Factors!$C$2:$C$13)+J130*_xlfn.XLOOKUP("Water",Emission_Factors!$A$2:$A$13,Emission_Factors!$C$2:$C$13)+K130*_xlfn.XLOOKUP("Fiber_Recycled",Emission_Factors!$A$2:$A$13,Emission_Factors!$C$2:$C$13)+L130*_xlfn.XLOOKUP("Superplasticizer",Emission_Factors!$A$2:$A$13,Emission_Factors!$C$2:$C$13)</f>
        <v>881.68186400000002</v>
      </c>
    </row>
    <row r="131" spans="1:19" x14ac:dyDescent="0.25">
      <c r="A131">
        <v>656</v>
      </c>
      <c r="B131">
        <v>1151.1099999999999</v>
      </c>
      <c r="C131">
        <v>0</v>
      </c>
      <c r="D131">
        <v>211.89</v>
      </c>
      <c r="E131">
        <v>0</v>
      </c>
      <c r="F131">
        <v>0</v>
      </c>
      <c r="G131">
        <v>0</v>
      </c>
      <c r="H131">
        <v>0</v>
      </c>
      <c r="I131">
        <v>1231</v>
      </c>
      <c r="J131">
        <v>272.60000000000002</v>
      </c>
      <c r="K131">
        <v>0</v>
      </c>
      <c r="L131">
        <v>46.2</v>
      </c>
      <c r="M131">
        <v>90</v>
      </c>
      <c r="N131">
        <v>28</v>
      </c>
      <c r="O131">
        <v>163.9</v>
      </c>
      <c r="P131">
        <v>158.49902</v>
      </c>
      <c r="Q131">
        <v>5.4009765630000004</v>
      </c>
      <c r="R131" s="4">
        <f>B131*_xlfn.XLOOKUP("Cement",Emission_Factors!$A$2:$A$13,Emission_Factors!$C$2:$C$13)+C131*_xlfn.XLOOKUP("Slag",Emission_Factors!$A$2:$A$13,Emission_Factors!$C$2:$C$13)+D131*_xlfn.XLOOKUP("Silica_Fume",Emission_Factors!$A$2:$A$13,Emission_Factors!$C$2:$C$13)+E131*_xlfn.XLOOKUP("Limestone_Powder",Emission_Factors!$A$2:$A$13,Emission_Factors!$C$2:$C$13)+F131*_xlfn.XLOOKUP("Quartz_Powder",Emission_Factors!$A$2:$A$13,Emission_Factors!$C$2:$C$13)+G131*_xlfn.XLOOKUP("Fly_Ash",Emission_Factors!$A$2:$A$13,Emission_Factors!$C$2:$C$13)+H131*_xlfn.XLOOKUP("Nano_Silica",Emission_Factors!$A$2:$A$13,Emission_Factors!$C$2:$C$13)+I131*_xlfn.XLOOKUP("Aggregate",Emission_Factors!$A$2:$A$13,Emission_Factors!$C$2:$C$13)+J131*_xlfn.XLOOKUP("Water",Emission_Factors!$A$2:$A$13,Emission_Factors!$C$2:$C$13)+K131*_xlfn.XLOOKUP("Fiber_Virgin",Emission_Factors!$A$2:$A$13,Emission_Factors!$C$2:$C$13)+L131*_xlfn.XLOOKUP("Superplasticizer",Emission_Factors!$A$2:$A$13,Emission_Factors!$C$2:$C$13)</f>
        <v>1008.2089895999998</v>
      </c>
      <c r="S131" s="4">
        <f>B131*_xlfn.XLOOKUP("Cement",Emission_Factors!$A$2:$A$13,Emission_Factors!$C$2:$C$13)+C131*_xlfn.XLOOKUP("Slag",Emission_Factors!$A$2:$A$13,Emission_Factors!$C$2:$C$13)+D131*_xlfn.XLOOKUP("Silica_Fume",Emission_Factors!$A$2:$A$13,Emission_Factors!$C$2:$C$13)+E131*_xlfn.XLOOKUP("Limestone_Powder",Emission_Factors!$A$2:$A$13,Emission_Factors!$C$2:$C$13)+F131*_xlfn.XLOOKUP("Quartz_Powder",Emission_Factors!$A$2:$A$13,Emission_Factors!$C$2:$C$13)+G131*_xlfn.XLOOKUP("Fly_Ash",Emission_Factors!$A$2:$A$13,Emission_Factors!$C$2:$C$13)+H131*_xlfn.XLOOKUP("Nano_Silica",Emission_Factors!$A$2:$A$13,Emission_Factors!$C$2:$C$13)+I131*_xlfn.XLOOKUP("Aggregate",Emission_Factors!$A$2:$A$13,Emission_Factors!$C$2:$C$13)+J131*_xlfn.XLOOKUP("Water",Emission_Factors!$A$2:$A$13,Emission_Factors!$C$2:$C$13)+K131*_xlfn.XLOOKUP("Fiber_Recycled",Emission_Factors!$A$2:$A$13,Emission_Factors!$C$2:$C$13)+L131*_xlfn.XLOOKUP("Superplasticizer",Emission_Factors!$A$2:$A$13,Emission_Factors!$C$2:$C$13)</f>
        <v>1008.2089895999998</v>
      </c>
    </row>
    <row r="132" spans="1:19" x14ac:dyDescent="0.25">
      <c r="A132">
        <v>657</v>
      </c>
      <c r="B132">
        <v>270</v>
      </c>
      <c r="C132">
        <v>180</v>
      </c>
      <c r="D132">
        <v>90</v>
      </c>
      <c r="E132">
        <v>360</v>
      </c>
      <c r="F132">
        <v>0</v>
      </c>
      <c r="G132">
        <v>0</v>
      </c>
      <c r="H132">
        <v>0</v>
      </c>
      <c r="I132">
        <v>1539</v>
      </c>
      <c r="J132">
        <v>144</v>
      </c>
      <c r="K132">
        <v>0</v>
      </c>
      <c r="L132">
        <v>18</v>
      </c>
      <c r="M132">
        <v>20</v>
      </c>
      <c r="N132">
        <v>365</v>
      </c>
      <c r="O132">
        <v>164</v>
      </c>
      <c r="P132">
        <v>161.04445000000001</v>
      </c>
      <c r="Q132">
        <v>2.955551147</v>
      </c>
      <c r="R132" s="4">
        <f>B132*_xlfn.XLOOKUP("Cement",Emission_Factors!$A$2:$A$13,Emission_Factors!$C$2:$C$13)+C132*_xlfn.XLOOKUP("Slag",Emission_Factors!$A$2:$A$13,Emission_Factors!$C$2:$C$13)+D132*_xlfn.XLOOKUP("Silica_Fume",Emission_Factors!$A$2:$A$13,Emission_Factors!$C$2:$C$13)+E132*_xlfn.XLOOKUP("Limestone_Powder",Emission_Factors!$A$2:$A$13,Emission_Factors!$C$2:$C$13)+F132*_xlfn.XLOOKUP("Quartz_Powder",Emission_Factors!$A$2:$A$13,Emission_Factors!$C$2:$C$13)+G132*_xlfn.XLOOKUP("Fly_Ash",Emission_Factors!$A$2:$A$13,Emission_Factors!$C$2:$C$13)+H132*_xlfn.XLOOKUP("Nano_Silica",Emission_Factors!$A$2:$A$13,Emission_Factors!$C$2:$C$13)+I132*_xlfn.XLOOKUP("Aggregate",Emission_Factors!$A$2:$A$13,Emission_Factors!$C$2:$C$13)+J132*_xlfn.XLOOKUP("Water",Emission_Factors!$A$2:$A$13,Emission_Factors!$C$2:$C$13)+K132*_xlfn.XLOOKUP("Fiber_Virgin",Emission_Factors!$A$2:$A$13,Emission_Factors!$C$2:$C$13)+L132*_xlfn.XLOOKUP("Superplasticizer",Emission_Factors!$A$2:$A$13,Emission_Factors!$C$2:$C$13)</f>
        <v>265.55522399999995</v>
      </c>
      <c r="S132" s="4">
        <f>B132*_xlfn.XLOOKUP("Cement",Emission_Factors!$A$2:$A$13,Emission_Factors!$C$2:$C$13)+C132*_xlfn.XLOOKUP("Slag",Emission_Factors!$A$2:$A$13,Emission_Factors!$C$2:$C$13)+D132*_xlfn.XLOOKUP("Silica_Fume",Emission_Factors!$A$2:$A$13,Emission_Factors!$C$2:$C$13)+E132*_xlfn.XLOOKUP("Limestone_Powder",Emission_Factors!$A$2:$A$13,Emission_Factors!$C$2:$C$13)+F132*_xlfn.XLOOKUP("Quartz_Powder",Emission_Factors!$A$2:$A$13,Emission_Factors!$C$2:$C$13)+G132*_xlfn.XLOOKUP("Fly_Ash",Emission_Factors!$A$2:$A$13,Emission_Factors!$C$2:$C$13)+H132*_xlfn.XLOOKUP("Nano_Silica",Emission_Factors!$A$2:$A$13,Emission_Factors!$C$2:$C$13)+I132*_xlfn.XLOOKUP("Aggregate",Emission_Factors!$A$2:$A$13,Emission_Factors!$C$2:$C$13)+J132*_xlfn.XLOOKUP("Water",Emission_Factors!$A$2:$A$13,Emission_Factors!$C$2:$C$13)+K132*_xlfn.XLOOKUP("Fiber_Recycled",Emission_Factors!$A$2:$A$13,Emission_Factors!$C$2:$C$13)+L132*_xlfn.XLOOKUP("Superplasticizer",Emission_Factors!$A$2:$A$13,Emission_Factors!$C$2:$C$13)</f>
        <v>265.55522399999995</v>
      </c>
    </row>
    <row r="133" spans="1:19" x14ac:dyDescent="0.25">
      <c r="A133">
        <v>664</v>
      </c>
      <c r="B133">
        <v>1151.1099999999999</v>
      </c>
      <c r="C133">
        <v>0</v>
      </c>
      <c r="D133">
        <v>211.89</v>
      </c>
      <c r="E133">
        <v>0</v>
      </c>
      <c r="F133">
        <v>0</v>
      </c>
      <c r="G133">
        <v>0</v>
      </c>
      <c r="H133">
        <v>0</v>
      </c>
      <c r="I133">
        <v>1231</v>
      </c>
      <c r="J133">
        <v>272.60000000000002</v>
      </c>
      <c r="K133">
        <v>0</v>
      </c>
      <c r="L133">
        <v>46.2</v>
      </c>
      <c r="M133">
        <v>90</v>
      </c>
      <c r="N133">
        <v>28</v>
      </c>
      <c r="O133">
        <v>165.8</v>
      </c>
      <c r="P133">
        <v>158.49902</v>
      </c>
      <c r="Q133">
        <v>7.3009765629999999</v>
      </c>
      <c r="R133" s="4">
        <f>B133*_xlfn.XLOOKUP("Cement",Emission_Factors!$A$2:$A$13,Emission_Factors!$C$2:$C$13)+C133*_xlfn.XLOOKUP("Slag",Emission_Factors!$A$2:$A$13,Emission_Factors!$C$2:$C$13)+D133*_xlfn.XLOOKUP("Silica_Fume",Emission_Factors!$A$2:$A$13,Emission_Factors!$C$2:$C$13)+E133*_xlfn.XLOOKUP("Limestone_Powder",Emission_Factors!$A$2:$A$13,Emission_Factors!$C$2:$C$13)+F133*_xlfn.XLOOKUP("Quartz_Powder",Emission_Factors!$A$2:$A$13,Emission_Factors!$C$2:$C$13)+G133*_xlfn.XLOOKUP("Fly_Ash",Emission_Factors!$A$2:$A$13,Emission_Factors!$C$2:$C$13)+H133*_xlfn.XLOOKUP("Nano_Silica",Emission_Factors!$A$2:$A$13,Emission_Factors!$C$2:$C$13)+I133*_xlfn.XLOOKUP("Aggregate",Emission_Factors!$A$2:$A$13,Emission_Factors!$C$2:$C$13)+J133*_xlfn.XLOOKUP("Water",Emission_Factors!$A$2:$A$13,Emission_Factors!$C$2:$C$13)+K133*_xlfn.XLOOKUP("Fiber_Virgin",Emission_Factors!$A$2:$A$13,Emission_Factors!$C$2:$C$13)+L133*_xlfn.XLOOKUP("Superplasticizer",Emission_Factors!$A$2:$A$13,Emission_Factors!$C$2:$C$13)</f>
        <v>1008.2089895999998</v>
      </c>
      <c r="S133" s="4">
        <f>B133*_xlfn.XLOOKUP("Cement",Emission_Factors!$A$2:$A$13,Emission_Factors!$C$2:$C$13)+C133*_xlfn.XLOOKUP("Slag",Emission_Factors!$A$2:$A$13,Emission_Factors!$C$2:$C$13)+D133*_xlfn.XLOOKUP("Silica_Fume",Emission_Factors!$A$2:$A$13,Emission_Factors!$C$2:$C$13)+E133*_xlfn.XLOOKUP("Limestone_Powder",Emission_Factors!$A$2:$A$13,Emission_Factors!$C$2:$C$13)+F133*_xlfn.XLOOKUP("Quartz_Powder",Emission_Factors!$A$2:$A$13,Emission_Factors!$C$2:$C$13)+G133*_xlfn.XLOOKUP("Fly_Ash",Emission_Factors!$A$2:$A$13,Emission_Factors!$C$2:$C$13)+H133*_xlfn.XLOOKUP("Nano_Silica",Emission_Factors!$A$2:$A$13,Emission_Factors!$C$2:$C$13)+I133*_xlfn.XLOOKUP("Aggregate",Emission_Factors!$A$2:$A$13,Emission_Factors!$C$2:$C$13)+J133*_xlfn.XLOOKUP("Water",Emission_Factors!$A$2:$A$13,Emission_Factors!$C$2:$C$13)+K133*_xlfn.XLOOKUP("Fiber_Recycled",Emission_Factors!$A$2:$A$13,Emission_Factors!$C$2:$C$13)+L133*_xlfn.XLOOKUP("Superplasticizer",Emission_Factors!$A$2:$A$13,Emission_Factors!$C$2:$C$13)</f>
        <v>1008.2089895999998</v>
      </c>
    </row>
    <row r="134" spans="1:19" x14ac:dyDescent="0.25">
      <c r="A134">
        <v>667</v>
      </c>
      <c r="B134">
        <v>960</v>
      </c>
      <c r="C134">
        <v>0</v>
      </c>
      <c r="D134">
        <v>240</v>
      </c>
      <c r="E134">
        <v>0</v>
      </c>
      <c r="F134">
        <v>0</v>
      </c>
      <c r="G134">
        <v>0</v>
      </c>
      <c r="H134">
        <v>0</v>
      </c>
      <c r="I134">
        <v>780.5</v>
      </c>
      <c r="J134">
        <v>234</v>
      </c>
      <c r="K134">
        <v>39</v>
      </c>
      <c r="L134">
        <v>45</v>
      </c>
      <c r="M134">
        <v>23</v>
      </c>
      <c r="N134">
        <v>56</v>
      </c>
      <c r="O134">
        <v>166.2</v>
      </c>
      <c r="P134">
        <v>162.11732000000001</v>
      </c>
      <c r="Q134">
        <v>4.082675171</v>
      </c>
      <c r="R134" s="4">
        <f>B134*_xlfn.XLOOKUP("Cement",Emission_Factors!$A$2:$A$13,Emission_Factors!$C$2:$C$13)+C134*_xlfn.XLOOKUP("Slag",Emission_Factors!$A$2:$A$13,Emission_Factors!$C$2:$C$13)+D134*_xlfn.XLOOKUP("Silica_Fume",Emission_Factors!$A$2:$A$13,Emission_Factors!$C$2:$C$13)+E134*_xlfn.XLOOKUP("Limestone_Powder",Emission_Factors!$A$2:$A$13,Emission_Factors!$C$2:$C$13)+F134*_xlfn.XLOOKUP("Quartz_Powder",Emission_Factors!$A$2:$A$13,Emission_Factors!$C$2:$C$13)+G134*_xlfn.XLOOKUP("Fly_Ash",Emission_Factors!$A$2:$A$13,Emission_Factors!$C$2:$C$13)+H134*_xlfn.XLOOKUP("Nano_Silica",Emission_Factors!$A$2:$A$13,Emission_Factors!$C$2:$C$13)+I134*_xlfn.XLOOKUP("Aggregate",Emission_Factors!$A$2:$A$13,Emission_Factors!$C$2:$C$13)+J134*_xlfn.XLOOKUP("Water",Emission_Factors!$A$2:$A$13,Emission_Factors!$C$2:$C$13)+K134*_xlfn.XLOOKUP("Fiber_Virgin",Emission_Factors!$A$2:$A$13,Emission_Factors!$C$2:$C$13)+L134*_xlfn.XLOOKUP("Superplasticizer",Emission_Factors!$A$2:$A$13,Emission_Factors!$C$2:$C$13)</f>
        <v>944.08836400000007</v>
      </c>
      <c r="S134" s="4">
        <f>B134*_xlfn.XLOOKUP("Cement",Emission_Factors!$A$2:$A$13,Emission_Factors!$C$2:$C$13)+C134*_xlfn.XLOOKUP("Slag",Emission_Factors!$A$2:$A$13,Emission_Factors!$C$2:$C$13)+D134*_xlfn.XLOOKUP("Silica_Fume",Emission_Factors!$A$2:$A$13,Emission_Factors!$C$2:$C$13)+E134*_xlfn.XLOOKUP("Limestone_Powder",Emission_Factors!$A$2:$A$13,Emission_Factors!$C$2:$C$13)+F134*_xlfn.XLOOKUP("Quartz_Powder",Emission_Factors!$A$2:$A$13,Emission_Factors!$C$2:$C$13)+G134*_xlfn.XLOOKUP("Fly_Ash",Emission_Factors!$A$2:$A$13,Emission_Factors!$C$2:$C$13)+H134*_xlfn.XLOOKUP("Nano_Silica",Emission_Factors!$A$2:$A$13,Emission_Factors!$C$2:$C$13)+I134*_xlfn.XLOOKUP("Aggregate",Emission_Factors!$A$2:$A$13,Emission_Factors!$C$2:$C$13)+J134*_xlfn.XLOOKUP("Water",Emission_Factors!$A$2:$A$13,Emission_Factors!$C$2:$C$13)+K134*_xlfn.XLOOKUP("Fiber_Recycled",Emission_Factors!$A$2:$A$13,Emission_Factors!$C$2:$C$13)+L134*_xlfn.XLOOKUP("Superplasticizer",Emission_Factors!$A$2:$A$13,Emission_Factors!$C$2:$C$13)</f>
        <v>881.68836400000009</v>
      </c>
    </row>
    <row r="135" spans="1:19" x14ac:dyDescent="0.25">
      <c r="A135">
        <v>690</v>
      </c>
      <c r="B135">
        <v>960</v>
      </c>
      <c r="C135">
        <v>0</v>
      </c>
      <c r="D135">
        <v>240</v>
      </c>
      <c r="E135">
        <v>0</v>
      </c>
      <c r="F135">
        <v>0</v>
      </c>
      <c r="G135">
        <v>0</v>
      </c>
      <c r="H135">
        <v>0</v>
      </c>
      <c r="I135">
        <v>780.5</v>
      </c>
      <c r="J135">
        <v>234</v>
      </c>
      <c r="K135">
        <v>39</v>
      </c>
      <c r="L135">
        <v>45</v>
      </c>
      <c r="M135">
        <v>23</v>
      </c>
      <c r="N135">
        <v>90</v>
      </c>
      <c r="O135">
        <v>169.4</v>
      </c>
      <c r="P135">
        <v>167.33404999999999</v>
      </c>
      <c r="Q135">
        <v>2.06595459</v>
      </c>
      <c r="R135" s="4">
        <f>B135*_xlfn.XLOOKUP("Cement",Emission_Factors!$A$2:$A$13,Emission_Factors!$C$2:$C$13)+C135*_xlfn.XLOOKUP("Slag",Emission_Factors!$A$2:$A$13,Emission_Factors!$C$2:$C$13)+D135*_xlfn.XLOOKUP("Silica_Fume",Emission_Factors!$A$2:$A$13,Emission_Factors!$C$2:$C$13)+E135*_xlfn.XLOOKUP("Limestone_Powder",Emission_Factors!$A$2:$A$13,Emission_Factors!$C$2:$C$13)+F135*_xlfn.XLOOKUP("Quartz_Powder",Emission_Factors!$A$2:$A$13,Emission_Factors!$C$2:$C$13)+G135*_xlfn.XLOOKUP("Fly_Ash",Emission_Factors!$A$2:$A$13,Emission_Factors!$C$2:$C$13)+H135*_xlfn.XLOOKUP("Nano_Silica",Emission_Factors!$A$2:$A$13,Emission_Factors!$C$2:$C$13)+I135*_xlfn.XLOOKUP("Aggregate",Emission_Factors!$A$2:$A$13,Emission_Factors!$C$2:$C$13)+J135*_xlfn.XLOOKUP("Water",Emission_Factors!$A$2:$A$13,Emission_Factors!$C$2:$C$13)+K135*_xlfn.XLOOKUP("Fiber_Virgin",Emission_Factors!$A$2:$A$13,Emission_Factors!$C$2:$C$13)+L135*_xlfn.XLOOKUP("Superplasticizer",Emission_Factors!$A$2:$A$13,Emission_Factors!$C$2:$C$13)</f>
        <v>944.08836400000007</v>
      </c>
      <c r="S135" s="4">
        <f>B135*_xlfn.XLOOKUP("Cement",Emission_Factors!$A$2:$A$13,Emission_Factors!$C$2:$C$13)+C135*_xlfn.XLOOKUP("Slag",Emission_Factors!$A$2:$A$13,Emission_Factors!$C$2:$C$13)+D135*_xlfn.XLOOKUP("Silica_Fume",Emission_Factors!$A$2:$A$13,Emission_Factors!$C$2:$C$13)+E135*_xlfn.XLOOKUP("Limestone_Powder",Emission_Factors!$A$2:$A$13,Emission_Factors!$C$2:$C$13)+F135*_xlfn.XLOOKUP("Quartz_Powder",Emission_Factors!$A$2:$A$13,Emission_Factors!$C$2:$C$13)+G135*_xlfn.XLOOKUP("Fly_Ash",Emission_Factors!$A$2:$A$13,Emission_Factors!$C$2:$C$13)+H135*_xlfn.XLOOKUP("Nano_Silica",Emission_Factors!$A$2:$A$13,Emission_Factors!$C$2:$C$13)+I135*_xlfn.XLOOKUP("Aggregate",Emission_Factors!$A$2:$A$13,Emission_Factors!$C$2:$C$13)+J135*_xlfn.XLOOKUP("Water",Emission_Factors!$A$2:$A$13,Emission_Factors!$C$2:$C$13)+K135*_xlfn.XLOOKUP("Fiber_Recycled",Emission_Factors!$A$2:$A$13,Emission_Factors!$C$2:$C$13)+L135*_xlfn.XLOOKUP("Superplasticizer",Emission_Factors!$A$2:$A$13,Emission_Factors!$C$2:$C$13)</f>
        <v>881.68836400000009</v>
      </c>
    </row>
    <row r="136" spans="1:19" x14ac:dyDescent="0.25">
      <c r="A136">
        <v>703</v>
      </c>
      <c r="B136">
        <v>741</v>
      </c>
      <c r="C136">
        <v>0</v>
      </c>
      <c r="D136">
        <v>185</v>
      </c>
      <c r="E136">
        <v>64.75</v>
      </c>
      <c r="F136">
        <v>194.25</v>
      </c>
      <c r="G136">
        <v>0</v>
      </c>
      <c r="H136">
        <v>0</v>
      </c>
      <c r="I136">
        <v>815</v>
      </c>
      <c r="J136">
        <v>185</v>
      </c>
      <c r="K136">
        <v>156</v>
      </c>
      <c r="L136">
        <v>9</v>
      </c>
      <c r="M136">
        <v>30</v>
      </c>
      <c r="N136">
        <v>90</v>
      </c>
      <c r="O136">
        <v>171</v>
      </c>
      <c r="P136">
        <v>167.60417000000001</v>
      </c>
      <c r="Q136">
        <v>3.3958282469999999</v>
      </c>
      <c r="R136" s="4">
        <f>B136*_xlfn.XLOOKUP("Cement",Emission_Factors!$A$2:$A$13,Emission_Factors!$C$2:$C$13)+C136*_xlfn.XLOOKUP("Slag",Emission_Factors!$A$2:$A$13,Emission_Factors!$C$2:$C$13)+D136*_xlfn.XLOOKUP("Silica_Fume",Emission_Factors!$A$2:$A$13,Emission_Factors!$C$2:$C$13)+E136*_xlfn.XLOOKUP("Limestone_Powder",Emission_Factors!$A$2:$A$13,Emission_Factors!$C$2:$C$13)+F136*_xlfn.XLOOKUP("Quartz_Powder",Emission_Factors!$A$2:$A$13,Emission_Factors!$C$2:$C$13)+G136*_xlfn.XLOOKUP("Fly_Ash",Emission_Factors!$A$2:$A$13,Emission_Factors!$C$2:$C$13)+H136*_xlfn.XLOOKUP("Nano_Silica",Emission_Factors!$A$2:$A$13,Emission_Factors!$C$2:$C$13)+I136*_xlfn.XLOOKUP("Aggregate",Emission_Factors!$A$2:$A$13,Emission_Factors!$C$2:$C$13)+J136*_xlfn.XLOOKUP("Water",Emission_Factors!$A$2:$A$13,Emission_Factors!$C$2:$C$13)+K136*_xlfn.XLOOKUP("Fiber_Virgin",Emission_Factors!$A$2:$A$13,Emission_Factors!$C$2:$C$13)+L136*_xlfn.XLOOKUP("Superplasticizer",Emission_Factors!$A$2:$A$13,Emission_Factors!$C$2:$C$13)</f>
        <v>1025.9317350000001</v>
      </c>
      <c r="S136" s="4">
        <f>B136*_xlfn.XLOOKUP("Cement",Emission_Factors!$A$2:$A$13,Emission_Factors!$C$2:$C$13)+C136*_xlfn.XLOOKUP("Slag",Emission_Factors!$A$2:$A$13,Emission_Factors!$C$2:$C$13)+D136*_xlfn.XLOOKUP("Silica_Fume",Emission_Factors!$A$2:$A$13,Emission_Factors!$C$2:$C$13)+E136*_xlfn.XLOOKUP("Limestone_Powder",Emission_Factors!$A$2:$A$13,Emission_Factors!$C$2:$C$13)+F136*_xlfn.XLOOKUP("Quartz_Powder",Emission_Factors!$A$2:$A$13,Emission_Factors!$C$2:$C$13)+G136*_xlfn.XLOOKUP("Fly_Ash",Emission_Factors!$A$2:$A$13,Emission_Factors!$C$2:$C$13)+H136*_xlfn.XLOOKUP("Nano_Silica",Emission_Factors!$A$2:$A$13,Emission_Factors!$C$2:$C$13)+I136*_xlfn.XLOOKUP("Aggregate",Emission_Factors!$A$2:$A$13,Emission_Factors!$C$2:$C$13)+J136*_xlfn.XLOOKUP("Water",Emission_Factors!$A$2:$A$13,Emission_Factors!$C$2:$C$13)+K136*_xlfn.XLOOKUP("Fiber_Recycled",Emission_Factors!$A$2:$A$13,Emission_Factors!$C$2:$C$13)+L136*_xlfn.XLOOKUP("Superplasticizer",Emission_Factors!$A$2:$A$13,Emission_Factors!$C$2:$C$13)</f>
        <v>776.33173499999998</v>
      </c>
    </row>
    <row r="137" spans="1:19" x14ac:dyDescent="0.25">
      <c r="A137">
        <v>704</v>
      </c>
      <c r="B137">
        <v>575.6</v>
      </c>
      <c r="C137">
        <v>0</v>
      </c>
      <c r="D137">
        <v>134</v>
      </c>
      <c r="E137">
        <v>772.2</v>
      </c>
      <c r="F137">
        <v>0</v>
      </c>
      <c r="G137">
        <v>0</v>
      </c>
      <c r="H137">
        <v>0</v>
      </c>
      <c r="I137">
        <v>455.7</v>
      </c>
      <c r="J137">
        <v>201.4</v>
      </c>
      <c r="K137">
        <v>0</v>
      </c>
      <c r="L137">
        <v>5.0999999999999996</v>
      </c>
      <c r="M137">
        <v>23</v>
      </c>
      <c r="N137">
        <v>56</v>
      </c>
      <c r="O137">
        <v>171</v>
      </c>
      <c r="P137">
        <v>164.69891000000001</v>
      </c>
      <c r="Q137">
        <v>6.3010864260000004</v>
      </c>
      <c r="R137" s="4">
        <f>B137*_xlfn.XLOOKUP("Cement",Emission_Factors!$A$2:$A$13,Emission_Factors!$C$2:$C$13)+C137*_xlfn.XLOOKUP("Slag",Emission_Factors!$A$2:$A$13,Emission_Factors!$C$2:$C$13)+D137*_xlfn.XLOOKUP("Silica_Fume",Emission_Factors!$A$2:$A$13,Emission_Factors!$C$2:$C$13)+E137*_xlfn.XLOOKUP("Limestone_Powder",Emission_Factors!$A$2:$A$13,Emission_Factors!$C$2:$C$13)+F137*_xlfn.XLOOKUP("Quartz_Powder",Emission_Factors!$A$2:$A$13,Emission_Factors!$C$2:$C$13)+G137*_xlfn.XLOOKUP("Fly_Ash",Emission_Factors!$A$2:$A$13,Emission_Factors!$C$2:$C$13)+H137*_xlfn.XLOOKUP("Nano_Silica",Emission_Factors!$A$2:$A$13,Emission_Factors!$C$2:$C$13)+I137*_xlfn.XLOOKUP("Aggregate",Emission_Factors!$A$2:$A$13,Emission_Factors!$C$2:$C$13)+J137*_xlfn.XLOOKUP("Water",Emission_Factors!$A$2:$A$13,Emission_Factors!$C$2:$C$13)+K137*_xlfn.XLOOKUP("Fiber_Virgin",Emission_Factors!$A$2:$A$13,Emission_Factors!$C$2:$C$13)+L137*_xlfn.XLOOKUP("Superplasticizer",Emission_Factors!$A$2:$A$13,Emission_Factors!$C$2:$C$13)</f>
        <v>499.88377439999999</v>
      </c>
      <c r="S137" s="4">
        <f>B137*_xlfn.XLOOKUP("Cement",Emission_Factors!$A$2:$A$13,Emission_Factors!$C$2:$C$13)+C137*_xlfn.XLOOKUP("Slag",Emission_Factors!$A$2:$A$13,Emission_Factors!$C$2:$C$13)+D137*_xlfn.XLOOKUP("Silica_Fume",Emission_Factors!$A$2:$A$13,Emission_Factors!$C$2:$C$13)+E137*_xlfn.XLOOKUP("Limestone_Powder",Emission_Factors!$A$2:$A$13,Emission_Factors!$C$2:$C$13)+F137*_xlfn.XLOOKUP("Quartz_Powder",Emission_Factors!$A$2:$A$13,Emission_Factors!$C$2:$C$13)+G137*_xlfn.XLOOKUP("Fly_Ash",Emission_Factors!$A$2:$A$13,Emission_Factors!$C$2:$C$13)+H137*_xlfn.XLOOKUP("Nano_Silica",Emission_Factors!$A$2:$A$13,Emission_Factors!$C$2:$C$13)+I137*_xlfn.XLOOKUP("Aggregate",Emission_Factors!$A$2:$A$13,Emission_Factors!$C$2:$C$13)+J137*_xlfn.XLOOKUP("Water",Emission_Factors!$A$2:$A$13,Emission_Factors!$C$2:$C$13)+K137*_xlfn.XLOOKUP("Fiber_Recycled",Emission_Factors!$A$2:$A$13,Emission_Factors!$C$2:$C$13)+L137*_xlfn.XLOOKUP("Superplasticizer",Emission_Factors!$A$2:$A$13,Emission_Factors!$C$2:$C$13)</f>
        <v>499.88377439999999</v>
      </c>
    </row>
    <row r="138" spans="1:19" x14ac:dyDescent="0.25">
      <c r="A138">
        <v>714</v>
      </c>
      <c r="B138">
        <v>960</v>
      </c>
      <c r="C138">
        <v>0</v>
      </c>
      <c r="D138">
        <v>240</v>
      </c>
      <c r="E138">
        <v>0</v>
      </c>
      <c r="F138">
        <v>0</v>
      </c>
      <c r="G138">
        <v>0</v>
      </c>
      <c r="H138">
        <v>0</v>
      </c>
      <c r="I138">
        <v>740.7</v>
      </c>
      <c r="J138">
        <v>234</v>
      </c>
      <c r="K138">
        <v>156</v>
      </c>
      <c r="L138">
        <v>45</v>
      </c>
      <c r="M138">
        <v>23</v>
      </c>
      <c r="N138">
        <v>56</v>
      </c>
      <c r="O138">
        <v>173.2</v>
      </c>
      <c r="P138">
        <v>174.74545000000001</v>
      </c>
      <c r="Q138">
        <v>-1.5454528809999999</v>
      </c>
      <c r="R138" s="4">
        <f>B138*_xlfn.XLOOKUP("Cement",Emission_Factors!$A$2:$A$13,Emission_Factors!$C$2:$C$13)+C138*_xlfn.XLOOKUP("Slag",Emission_Factors!$A$2:$A$13,Emission_Factors!$C$2:$C$13)+D138*_xlfn.XLOOKUP("Silica_Fume",Emission_Factors!$A$2:$A$13,Emission_Factors!$C$2:$C$13)+E138*_xlfn.XLOOKUP("Limestone_Powder",Emission_Factors!$A$2:$A$13,Emission_Factors!$C$2:$C$13)+F138*_xlfn.XLOOKUP("Quartz_Powder",Emission_Factors!$A$2:$A$13,Emission_Factors!$C$2:$C$13)+G138*_xlfn.XLOOKUP("Fly_Ash",Emission_Factors!$A$2:$A$13,Emission_Factors!$C$2:$C$13)+H138*_xlfn.XLOOKUP("Nano_Silica",Emission_Factors!$A$2:$A$13,Emission_Factors!$C$2:$C$13)+I138*_xlfn.XLOOKUP("Aggregate",Emission_Factors!$A$2:$A$13,Emission_Factors!$C$2:$C$13)+J138*_xlfn.XLOOKUP("Water",Emission_Factors!$A$2:$A$13,Emission_Factors!$C$2:$C$13)+K138*_xlfn.XLOOKUP("Fiber_Virgin",Emission_Factors!$A$2:$A$13,Emission_Factors!$C$2:$C$13)+L138*_xlfn.XLOOKUP("Superplasticizer",Emission_Factors!$A$2:$A$13,Emission_Factors!$C$2:$C$13)</f>
        <v>1236.3893640000001</v>
      </c>
      <c r="S138" s="4">
        <f>B138*_xlfn.XLOOKUP("Cement",Emission_Factors!$A$2:$A$13,Emission_Factors!$C$2:$C$13)+C138*_xlfn.XLOOKUP("Slag",Emission_Factors!$A$2:$A$13,Emission_Factors!$C$2:$C$13)+D138*_xlfn.XLOOKUP("Silica_Fume",Emission_Factors!$A$2:$A$13,Emission_Factors!$C$2:$C$13)+E138*_xlfn.XLOOKUP("Limestone_Powder",Emission_Factors!$A$2:$A$13,Emission_Factors!$C$2:$C$13)+F138*_xlfn.XLOOKUP("Quartz_Powder",Emission_Factors!$A$2:$A$13,Emission_Factors!$C$2:$C$13)+G138*_xlfn.XLOOKUP("Fly_Ash",Emission_Factors!$A$2:$A$13,Emission_Factors!$C$2:$C$13)+H138*_xlfn.XLOOKUP("Nano_Silica",Emission_Factors!$A$2:$A$13,Emission_Factors!$C$2:$C$13)+I138*_xlfn.XLOOKUP("Aggregate",Emission_Factors!$A$2:$A$13,Emission_Factors!$C$2:$C$13)+J138*_xlfn.XLOOKUP("Water",Emission_Factors!$A$2:$A$13,Emission_Factors!$C$2:$C$13)+K138*_xlfn.XLOOKUP("Fiber_Recycled",Emission_Factors!$A$2:$A$13,Emission_Factors!$C$2:$C$13)+L138*_xlfn.XLOOKUP("Superplasticizer",Emission_Factors!$A$2:$A$13,Emission_Factors!$C$2:$C$13)</f>
        <v>986.78936399999998</v>
      </c>
    </row>
    <row r="139" spans="1:19" x14ac:dyDescent="0.25">
      <c r="A139">
        <v>717</v>
      </c>
      <c r="B139">
        <v>630</v>
      </c>
      <c r="C139">
        <v>180</v>
      </c>
      <c r="D139">
        <v>90</v>
      </c>
      <c r="E139">
        <v>0</v>
      </c>
      <c r="F139">
        <v>0</v>
      </c>
      <c r="G139">
        <v>0</v>
      </c>
      <c r="H139">
        <v>0</v>
      </c>
      <c r="I139">
        <v>1539</v>
      </c>
      <c r="J139">
        <v>162</v>
      </c>
      <c r="K139">
        <v>0</v>
      </c>
      <c r="L139">
        <v>18</v>
      </c>
      <c r="M139">
        <v>20</v>
      </c>
      <c r="N139">
        <v>365</v>
      </c>
      <c r="O139">
        <v>174</v>
      </c>
      <c r="P139">
        <v>173.06952000000001</v>
      </c>
      <c r="Q139">
        <v>0.930480957</v>
      </c>
      <c r="R139" s="4">
        <f>B139*_xlfn.XLOOKUP("Cement",Emission_Factors!$A$2:$A$13,Emission_Factors!$C$2:$C$13)+C139*_xlfn.XLOOKUP("Slag",Emission_Factors!$A$2:$A$13,Emission_Factors!$C$2:$C$13)+D139*_xlfn.XLOOKUP("Silica_Fume",Emission_Factors!$A$2:$A$13,Emission_Factors!$C$2:$C$13)+E139*_xlfn.XLOOKUP("Limestone_Powder",Emission_Factors!$A$2:$A$13,Emission_Factors!$C$2:$C$13)+F139*_xlfn.XLOOKUP("Quartz_Powder",Emission_Factors!$A$2:$A$13,Emission_Factors!$C$2:$C$13)+G139*_xlfn.XLOOKUP("Fly_Ash",Emission_Factors!$A$2:$A$13,Emission_Factors!$C$2:$C$13)+H139*_xlfn.XLOOKUP("Nano_Silica",Emission_Factors!$A$2:$A$13,Emission_Factors!$C$2:$C$13)+I139*_xlfn.XLOOKUP("Aggregate",Emission_Factors!$A$2:$A$13,Emission_Factors!$C$2:$C$13)+J139*_xlfn.XLOOKUP("Water",Emission_Factors!$A$2:$A$13,Emission_Factors!$C$2:$C$13)+K139*_xlfn.XLOOKUP("Fiber_Virgin",Emission_Factors!$A$2:$A$13,Emission_Factors!$C$2:$C$13)+L139*_xlfn.XLOOKUP("Superplasticizer",Emission_Factors!$A$2:$A$13,Emission_Factors!$C$2:$C$13)</f>
        <v>558.23875199999998</v>
      </c>
      <c r="S139" s="4">
        <f>B139*_xlfn.XLOOKUP("Cement",Emission_Factors!$A$2:$A$13,Emission_Factors!$C$2:$C$13)+C139*_xlfn.XLOOKUP("Slag",Emission_Factors!$A$2:$A$13,Emission_Factors!$C$2:$C$13)+D139*_xlfn.XLOOKUP("Silica_Fume",Emission_Factors!$A$2:$A$13,Emission_Factors!$C$2:$C$13)+E139*_xlfn.XLOOKUP("Limestone_Powder",Emission_Factors!$A$2:$A$13,Emission_Factors!$C$2:$C$13)+F139*_xlfn.XLOOKUP("Quartz_Powder",Emission_Factors!$A$2:$A$13,Emission_Factors!$C$2:$C$13)+G139*_xlfn.XLOOKUP("Fly_Ash",Emission_Factors!$A$2:$A$13,Emission_Factors!$C$2:$C$13)+H139*_xlfn.XLOOKUP("Nano_Silica",Emission_Factors!$A$2:$A$13,Emission_Factors!$C$2:$C$13)+I139*_xlfn.XLOOKUP("Aggregate",Emission_Factors!$A$2:$A$13,Emission_Factors!$C$2:$C$13)+J139*_xlfn.XLOOKUP("Water",Emission_Factors!$A$2:$A$13,Emission_Factors!$C$2:$C$13)+K139*_xlfn.XLOOKUP("Fiber_Recycled",Emission_Factors!$A$2:$A$13,Emission_Factors!$C$2:$C$13)+L139*_xlfn.XLOOKUP("Superplasticizer",Emission_Factors!$A$2:$A$13,Emission_Factors!$C$2:$C$13)</f>
        <v>558.23875199999998</v>
      </c>
    </row>
    <row r="140" spans="1:19" x14ac:dyDescent="0.25">
      <c r="A140">
        <v>718</v>
      </c>
      <c r="B140">
        <v>960</v>
      </c>
      <c r="C140">
        <v>0</v>
      </c>
      <c r="D140">
        <v>240</v>
      </c>
      <c r="E140">
        <v>0</v>
      </c>
      <c r="F140">
        <v>0</v>
      </c>
      <c r="G140">
        <v>0</v>
      </c>
      <c r="H140">
        <v>0</v>
      </c>
      <c r="I140">
        <v>720.7</v>
      </c>
      <c r="J140">
        <v>234</v>
      </c>
      <c r="K140">
        <v>117</v>
      </c>
      <c r="L140">
        <v>57</v>
      </c>
      <c r="M140">
        <v>23</v>
      </c>
      <c r="N140">
        <v>180</v>
      </c>
      <c r="O140">
        <v>174.2</v>
      </c>
      <c r="P140">
        <v>174.9888</v>
      </c>
      <c r="Q140">
        <v>-0.788800049</v>
      </c>
      <c r="R140" s="4">
        <f>B140*_xlfn.XLOOKUP("Cement",Emission_Factors!$A$2:$A$13,Emission_Factors!$C$2:$C$13)+C140*_xlfn.XLOOKUP("Slag",Emission_Factors!$A$2:$A$13,Emission_Factors!$C$2:$C$13)+D140*_xlfn.XLOOKUP("Silica_Fume",Emission_Factors!$A$2:$A$13,Emission_Factors!$C$2:$C$13)+E140*_xlfn.XLOOKUP("Limestone_Powder",Emission_Factors!$A$2:$A$13,Emission_Factors!$C$2:$C$13)+F140*_xlfn.XLOOKUP("Quartz_Powder",Emission_Factors!$A$2:$A$13,Emission_Factors!$C$2:$C$13)+G140*_xlfn.XLOOKUP("Fly_Ash",Emission_Factors!$A$2:$A$13,Emission_Factors!$C$2:$C$13)+H140*_xlfn.XLOOKUP("Nano_Silica",Emission_Factors!$A$2:$A$13,Emission_Factors!$C$2:$C$13)+I140*_xlfn.XLOOKUP("Aggregate",Emission_Factors!$A$2:$A$13,Emission_Factors!$C$2:$C$13)+J140*_xlfn.XLOOKUP("Water",Emission_Factors!$A$2:$A$13,Emission_Factors!$C$2:$C$13)+K140*_xlfn.XLOOKUP("Fiber_Virgin",Emission_Factors!$A$2:$A$13,Emission_Factors!$C$2:$C$13)+L140*_xlfn.XLOOKUP("Superplasticizer",Emission_Factors!$A$2:$A$13,Emission_Factors!$C$2:$C$13)</f>
        <v>1150.1173640000002</v>
      </c>
      <c r="S140" s="4">
        <f>B140*_xlfn.XLOOKUP("Cement",Emission_Factors!$A$2:$A$13,Emission_Factors!$C$2:$C$13)+C140*_xlfn.XLOOKUP("Slag",Emission_Factors!$A$2:$A$13,Emission_Factors!$C$2:$C$13)+D140*_xlfn.XLOOKUP("Silica_Fume",Emission_Factors!$A$2:$A$13,Emission_Factors!$C$2:$C$13)+E140*_xlfn.XLOOKUP("Limestone_Powder",Emission_Factors!$A$2:$A$13,Emission_Factors!$C$2:$C$13)+F140*_xlfn.XLOOKUP("Quartz_Powder",Emission_Factors!$A$2:$A$13,Emission_Factors!$C$2:$C$13)+G140*_xlfn.XLOOKUP("Fly_Ash",Emission_Factors!$A$2:$A$13,Emission_Factors!$C$2:$C$13)+H140*_xlfn.XLOOKUP("Nano_Silica",Emission_Factors!$A$2:$A$13,Emission_Factors!$C$2:$C$13)+I140*_xlfn.XLOOKUP("Aggregate",Emission_Factors!$A$2:$A$13,Emission_Factors!$C$2:$C$13)+J140*_xlfn.XLOOKUP("Water",Emission_Factors!$A$2:$A$13,Emission_Factors!$C$2:$C$13)+K140*_xlfn.XLOOKUP("Fiber_Recycled",Emission_Factors!$A$2:$A$13,Emission_Factors!$C$2:$C$13)+L140*_xlfn.XLOOKUP("Superplasticizer",Emission_Factors!$A$2:$A$13,Emission_Factors!$C$2:$C$13)</f>
        <v>962.91736400000002</v>
      </c>
    </row>
    <row r="141" spans="1:19" x14ac:dyDescent="0.25">
      <c r="A141">
        <v>722</v>
      </c>
      <c r="B141">
        <v>496.1</v>
      </c>
      <c r="C141">
        <v>124</v>
      </c>
      <c r="D141">
        <v>114.2</v>
      </c>
      <c r="E141">
        <v>0</v>
      </c>
      <c r="F141">
        <v>0</v>
      </c>
      <c r="G141">
        <v>164.9</v>
      </c>
      <c r="H141">
        <v>0</v>
      </c>
      <c r="I141">
        <v>1275.9000000000001</v>
      </c>
      <c r="J141">
        <v>161.9</v>
      </c>
      <c r="K141">
        <v>156</v>
      </c>
      <c r="L141">
        <v>36</v>
      </c>
      <c r="M141">
        <v>20</v>
      </c>
      <c r="N141">
        <v>28</v>
      </c>
      <c r="O141">
        <v>175.8</v>
      </c>
      <c r="P141">
        <v>175.59648000000001</v>
      </c>
      <c r="Q141">
        <v>0.20351867700000001</v>
      </c>
      <c r="R141" s="4">
        <f>B141*_xlfn.XLOOKUP("Cement",Emission_Factors!$A$2:$A$13,Emission_Factors!$C$2:$C$13)+C141*_xlfn.XLOOKUP("Slag",Emission_Factors!$A$2:$A$13,Emission_Factors!$C$2:$C$13)+D141*_xlfn.XLOOKUP("Silica_Fume",Emission_Factors!$A$2:$A$13,Emission_Factors!$C$2:$C$13)+E141*_xlfn.XLOOKUP("Limestone_Powder",Emission_Factors!$A$2:$A$13,Emission_Factors!$C$2:$C$13)+F141*_xlfn.XLOOKUP("Quartz_Powder",Emission_Factors!$A$2:$A$13,Emission_Factors!$C$2:$C$13)+G141*_xlfn.XLOOKUP("Fly_Ash",Emission_Factors!$A$2:$A$13,Emission_Factors!$C$2:$C$13)+H141*_xlfn.XLOOKUP("Nano_Silica",Emission_Factors!$A$2:$A$13,Emission_Factors!$C$2:$C$13)+I141*_xlfn.XLOOKUP("Aggregate",Emission_Factors!$A$2:$A$13,Emission_Factors!$C$2:$C$13)+J141*_xlfn.XLOOKUP("Water",Emission_Factors!$A$2:$A$13,Emission_Factors!$C$2:$C$13)+K141*_xlfn.XLOOKUP("Fiber_Virgin",Emission_Factors!$A$2:$A$13,Emission_Factors!$C$2:$C$13)+L141*_xlfn.XLOOKUP("Superplasticizer",Emission_Factors!$A$2:$A$13,Emission_Factors!$C$2:$C$13)</f>
        <v>851.68913239999995</v>
      </c>
      <c r="S141" s="4">
        <f>B141*_xlfn.XLOOKUP("Cement",Emission_Factors!$A$2:$A$13,Emission_Factors!$C$2:$C$13)+C141*_xlfn.XLOOKUP("Slag",Emission_Factors!$A$2:$A$13,Emission_Factors!$C$2:$C$13)+D141*_xlfn.XLOOKUP("Silica_Fume",Emission_Factors!$A$2:$A$13,Emission_Factors!$C$2:$C$13)+E141*_xlfn.XLOOKUP("Limestone_Powder",Emission_Factors!$A$2:$A$13,Emission_Factors!$C$2:$C$13)+F141*_xlfn.XLOOKUP("Quartz_Powder",Emission_Factors!$A$2:$A$13,Emission_Factors!$C$2:$C$13)+G141*_xlfn.XLOOKUP("Fly_Ash",Emission_Factors!$A$2:$A$13,Emission_Factors!$C$2:$C$13)+H141*_xlfn.XLOOKUP("Nano_Silica",Emission_Factors!$A$2:$A$13,Emission_Factors!$C$2:$C$13)+I141*_xlfn.XLOOKUP("Aggregate",Emission_Factors!$A$2:$A$13,Emission_Factors!$C$2:$C$13)+J141*_xlfn.XLOOKUP("Water",Emission_Factors!$A$2:$A$13,Emission_Factors!$C$2:$C$13)+K141*_xlfn.XLOOKUP("Fiber_Recycled",Emission_Factors!$A$2:$A$13,Emission_Factors!$C$2:$C$13)+L141*_xlfn.XLOOKUP("Superplasticizer",Emission_Factors!$A$2:$A$13,Emission_Factors!$C$2:$C$13)</f>
        <v>602.08913240000004</v>
      </c>
    </row>
    <row r="142" spans="1:19" x14ac:dyDescent="0.25">
      <c r="A142">
        <v>723</v>
      </c>
      <c r="B142">
        <v>800</v>
      </c>
      <c r="C142">
        <v>0</v>
      </c>
      <c r="D142">
        <v>200</v>
      </c>
      <c r="E142">
        <v>0</v>
      </c>
      <c r="F142">
        <v>100</v>
      </c>
      <c r="G142">
        <v>0</v>
      </c>
      <c r="H142">
        <v>0</v>
      </c>
      <c r="I142">
        <v>980</v>
      </c>
      <c r="J142">
        <v>200</v>
      </c>
      <c r="K142">
        <v>0</v>
      </c>
      <c r="L142">
        <v>9.6</v>
      </c>
      <c r="M142">
        <v>20</v>
      </c>
      <c r="N142">
        <v>90</v>
      </c>
      <c r="O142">
        <v>175.9</v>
      </c>
      <c r="P142">
        <v>166.31352000000001</v>
      </c>
      <c r="Q142">
        <v>9.586477661</v>
      </c>
      <c r="R142" s="4">
        <f>B142*_xlfn.XLOOKUP("Cement",Emission_Factors!$A$2:$A$13,Emission_Factors!$C$2:$C$13)+C142*_xlfn.XLOOKUP("Slag",Emission_Factors!$A$2:$A$13,Emission_Factors!$C$2:$C$13)+D142*_xlfn.XLOOKUP("Silica_Fume",Emission_Factors!$A$2:$A$13,Emission_Factors!$C$2:$C$13)+E142*_xlfn.XLOOKUP("Limestone_Powder",Emission_Factors!$A$2:$A$13,Emission_Factors!$C$2:$C$13)+F142*_xlfn.XLOOKUP("Quartz_Powder",Emission_Factors!$A$2:$A$13,Emission_Factors!$C$2:$C$13)+G142*_xlfn.XLOOKUP("Fly_Ash",Emission_Factors!$A$2:$A$13,Emission_Factors!$C$2:$C$13)+H142*_xlfn.XLOOKUP("Nano_Silica",Emission_Factors!$A$2:$A$13,Emission_Factors!$C$2:$C$13)+I142*_xlfn.XLOOKUP("Aggregate",Emission_Factors!$A$2:$A$13,Emission_Factors!$C$2:$C$13)+J142*_xlfn.XLOOKUP("Water",Emission_Factors!$A$2:$A$13,Emission_Factors!$C$2:$C$13)+K142*_xlfn.XLOOKUP("Fiber_Virgin",Emission_Factors!$A$2:$A$13,Emission_Factors!$C$2:$C$13)+L142*_xlfn.XLOOKUP("Superplasticizer",Emission_Factors!$A$2:$A$13,Emission_Factors!$C$2:$C$13)</f>
        <v>683.17160000000001</v>
      </c>
      <c r="S142" s="4">
        <f>B142*_xlfn.XLOOKUP("Cement",Emission_Factors!$A$2:$A$13,Emission_Factors!$C$2:$C$13)+C142*_xlfn.XLOOKUP("Slag",Emission_Factors!$A$2:$A$13,Emission_Factors!$C$2:$C$13)+D142*_xlfn.XLOOKUP("Silica_Fume",Emission_Factors!$A$2:$A$13,Emission_Factors!$C$2:$C$13)+E142*_xlfn.XLOOKUP("Limestone_Powder",Emission_Factors!$A$2:$A$13,Emission_Factors!$C$2:$C$13)+F142*_xlfn.XLOOKUP("Quartz_Powder",Emission_Factors!$A$2:$A$13,Emission_Factors!$C$2:$C$13)+G142*_xlfn.XLOOKUP("Fly_Ash",Emission_Factors!$A$2:$A$13,Emission_Factors!$C$2:$C$13)+H142*_xlfn.XLOOKUP("Nano_Silica",Emission_Factors!$A$2:$A$13,Emission_Factors!$C$2:$C$13)+I142*_xlfn.XLOOKUP("Aggregate",Emission_Factors!$A$2:$A$13,Emission_Factors!$C$2:$C$13)+J142*_xlfn.XLOOKUP("Water",Emission_Factors!$A$2:$A$13,Emission_Factors!$C$2:$C$13)+K142*_xlfn.XLOOKUP("Fiber_Recycled",Emission_Factors!$A$2:$A$13,Emission_Factors!$C$2:$C$13)+L142*_xlfn.XLOOKUP("Superplasticizer",Emission_Factors!$A$2:$A$13,Emission_Factors!$C$2:$C$13)</f>
        <v>683.17160000000001</v>
      </c>
    </row>
    <row r="143" spans="1:19" x14ac:dyDescent="0.25">
      <c r="A143">
        <v>725</v>
      </c>
      <c r="B143">
        <v>450</v>
      </c>
      <c r="C143">
        <v>180</v>
      </c>
      <c r="D143">
        <v>90</v>
      </c>
      <c r="E143">
        <v>180</v>
      </c>
      <c r="F143">
        <v>0</v>
      </c>
      <c r="G143">
        <v>0</v>
      </c>
      <c r="H143">
        <v>0</v>
      </c>
      <c r="I143">
        <v>1539</v>
      </c>
      <c r="J143">
        <v>144</v>
      </c>
      <c r="K143">
        <v>0</v>
      </c>
      <c r="L143">
        <v>18</v>
      </c>
      <c r="M143">
        <v>20</v>
      </c>
      <c r="N143">
        <v>90</v>
      </c>
      <c r="O143">
        <v>176</v>
      </c>
      <c r="P143">
        <v>170.21213</v>
      </c>
      <c r="Q143">
        <v>5.7878723140000004</v>
      </c>
      <c r="R143" s="4">
        <f>B143*_xlfn.XLOOKUP("Cement",Emission_Factors!$A$2:$A$13,Emission_Factors!$C$2:$C$13)+C143*_xlfn.XLOOKUP("Slag",Emission_Factors!$A$2:$A$13,Emission_Factors!$C$2:$C$13)+D143*_xlfn.XLOOKUP("Silica_Fume",Emission_Factors!$A$2:$A$13,Emission_Factors!$C$2:$C$13)+E143*_xlfn.XLOOKUP("Limestone_Powder",Emission_Factors!$A$2:$A$13,Emission_Factors!$C$2:$C$13)+F143*_xlfn.XLOOKUP("Quartz_Powder",Emission_Factors!$A$2:$A$13,Emission_Factors!$C$2:$C$13)+G143*_xlfn.XLOOKUP("Fly_Ash",Emission_Factors!$A$2:$A$13,Emission_Factors!$C$2:$C$13)+H143*_xlfn.XLOOKUP("Nano_Silica",Emission_Factors!$A$2:$A$13,Emission_Factors!$C$2:$C$13)+I143*_xlfn.XLOOKUP("Aggregate",Emission_Factors!$A$2:$A$13,Emission_Factors!$C$2:$C$13)+J143*_xlfn.XLOOKUP("Water",Emission_Factors!$A$2:$A$13,Emission_Factors!$C$2:$C$13)+K143*_xlfn.XLOOKUP("Fiber_Virgin",Emission_Factors!$A$2:$A$13,Emission_Factors!$C$2:$C$13)+L143*_xlfn.XLOOKUP("Superplasticizer",Emission_Factors!$A$2:$A$13,Emission_Factors!$C$2:$C$13)</f>
        <v>411.89522400000004</v>
      </c>
      <c r="S143" s="4">
        <f>B143*_xlfn.XLOOKUP("Cement",Emission_Factors!$A$2:$A$13,Emission_Factors!$C$2:$C$13)+C143*_xlfn.XLOOKUP("Slag",Emission_Factors!$A$2:$A$13,Emission_Factors!$C$2:$C$13)+D143*_xlfn.XLOOKUP("Silica_Fume",Emission_Factors!$A$2:$A$13,Emission_Factors!$C$2:$C$13)+E143*_xlfn.XLOOKUP("Limestone_Powder",Emission_Factors!$A$2:$A$13,Emission_Factors!$C$2:$C$13)+F143*_xlfn.XLOOKUP("Quartz_Powder",Emission_Factors!$A$2:$A$13,Emission_Factors!$C$2:$C$13)+G143*_xlfn.XLOOKUP("Fly_Ash",Emission_Factors!$A$2:$A$13,Emission_Factors!$C$2:$C$13)+H143*_xlfn.XLOOKUP("Nano_Silica",Emission_Factors!$A$2:$A$13,Emission_Factors!$C$2:$C$13)+I143*_xlfn.XLOOKUP("Aggregate",Emission_Factors!$A$2:$A$13,Emission_Factors!$C$2:$C$13)+J143*_xlfn.XLOOKUP("Water",Emission_Factors!$A$2:$A$13,Emission_Factors!$C$2:$C$13)+K143*_xlfn.XLOOKUP("Fiber_Recycled",Emission_Factors!$A$2:$A$13,Emission_Factors!$C$2:$C$13)+L143*_xlfn.XLOOKUP("Superplasticizer",Emission_Factors!$A$2:$A$13,Emission_Factors!$C$2:$C$13)</f>
        <v>411.89522400000004</v>
      </c>
    </row>
    <row r="144" spans="1:19" x14ac:dyDescent="0.25">
      <c r="A144">
        <v>726</v>
      </c>
      <c r="B144">
        <v>850</v>
      </c>
      <c r="C144">
        <v>0</v>
      </c>
      <c r="D144">
        <v>260</v>
      </c>
      <c r="E144">
        <v>0</v>
      </c>
      <c r="F144">
        <v>212</v>
      </c>
      <c r="G144">
        <v>0</v>
      </c>
      <c r="H144">
        <v>0</v>
      </c>
      <c r="I144">
        <v>850</v>
      </c>
      <c r="J144">
        <v>170</v>
      </c>
      <c r="K144">
        <v>156</v>
      </c>
      <c r="L144">
        <v>45</v>
      </c>
      <c r="M144">
        <v>23</v>
      </c>
      <c r="N144">
        <v>28</v>
      </c>
      <c r="O144">
        <v>176.6</v>
      </c>
      <c r="P144">
        <v>190.63641000000001</v>
      </c>
      <c r="Q144">
        <v>-14.036413570000001</v>
      </c>
      <c r="R144" s="4">
        <f>B144*_xlfn.XLOOKUP("Cement",Emission_Factors!$A$2:$A$13,Emission_Factors!$C$2:$C$13)+C144*_xlfn.XLOOKUP("Slag",Emission_Factors!$A$2:$A$13,Emission_Factors!$C$2:$C$13)+D144*_xlfn.XLOOKUP("Silica_Fume",Emission_Factors!$A$2:$A$13,Emission_Factors!$C$2:$C$13)+E144*_xlfn.XLOOKUP("Limestone_Powder",Emission_Factors!$A$2:$A$13,Emission_Factors!$C$2:$C$13)+F144*_xlfn.XLOOKUP("Quartz_Powder",Emission_Factors!$A$2:$A$13,Emission_Factors!$C$2:$C$13)+G144*_xlfn.XLOOKUP("Fly_Ash",Emission_Factors!$A$2:$A$13,Emission_Factors!$C$2:$C$13)+H144*_xlfn.XLOOKUP("Nano_Silica",Emission_Factors!$A$2:$A$13,Emission_Factors!$C$2:$C$13)+I144*_xlfn.XLOOKUP("Aggregate",Emission_Factors!$A$2:$A$13,Emission_Factors!$C$2:$C$13)+J144*_xlfn.XLOOKUP("Water",Emission_Factors!$A$2:$A$13,Emission_Factors!$C$2:$C$13)+K144*_xlfn.XLOOKUP("Fiber_Virgin",Emission_Factors!$A$2:$A$13,Emission_Factors!$C$2:$C$13)+L144*_xlfn.XLOOKUP("Superplasticizer",Emission_Factors!$A$2:$A$13,Emission_Factors!$C$2:$C$13)</f>
        <v>1150.9277200000001</v>
      </c>
      <c r="S144" s="4">
        <f>B144*_xlfn.XLOOKUP("Cement",Emission_Factors!$A$2:$A$13,Emission_Factors!$C$2:$C$13)+C144*_xlfn.XLOOKUP("Slag",Emission_Factors!$A$2:$A$13,Emission_Factors!$C$2:$C$13)+D144*_xlfn.XLOOKUP("Silica_Fume",Emission_Factors!$A$2:$A$13,Emission_Factors!$C$2:$C$13)+E144*_xlfn.XLOOKUP("Limestone_Powder",Emission_Factors!$A$2:$A$13,Emission_Factors!$C$2:$C$13)+F144*_xlfn.XLOOKUP("Quartz_Powder",Emission_Factors!$A$2:$A$13,Emission_Factors!$C$2:$C$13)+G144*_xlfn.XLOOKUP("Fly_Ash",Emission_Factors!$A$2:$A$13,Emission_Factors!$C$2:$C$13)+H144*_xlfn.XLOOKUP("Nano_Silica",Emission_Factors!$A$2:$A$13,Emission_Factors!$C$2:$C$13)+I144*_xlfn.XLOOKUP("Aggregate",Emission_Factors!$A$2:$A$13,Emission_Factors!$C$2:$C$13)+J144*_xlfn.XLOOKUP("Water",Emission_Factors!$A$2:$A$13,Emission_Factors!$C$2:$C$13)+K144*_xlfn.XLOOKUP("Fiber_Recycled",Emission_Factors!$A$2:$A$13,Emission_Factors!$C$2:$C$13)+L144*_xlfn.XLOOKUP("Superplasticizer",Emission_Factors!$A$2:$A$13,Emission_Factors!$C$2:$C$13)</f>
        <v>901.32772</v>
      </c>
    </row>
    <row r="145" spans="1:19" x14ac:dyDescent="0.25">
      <c r="A145">
        <v>727</v>
      </c>
      <c r="B145">
        <v>960</v>
      </c>
      <c r="C145">
        <v>0</v>
      </c>
      <c r="D145">
        <v>240</v>
      </c>
      <c r="E145">
        <v>0</v>
      </c>
      <c r="F145">
        <v>0</v>
      </c>
      <c r="G145">
        <v>0</v>
      </c>
      <c r="H145">
        <v>0</v>
      </c>
      <c r="I145">
        <v>754</v>
      </c>
      <c r="J145">
        <v>234</v>
      </c>
      <c r="K145">
        <v>117</v>
      </c>
      <c r="L145">
        <v>45</v>
      </c>
      <c r="M145">
        <v>23</v>
      </c>
      <c r="N145">
        <v>90</v>
      </c>
      <c r="O145">
        <v>176.8</v>
      </c>
      <c r="P145">
        <v>176.49538000000001</v>
      </c>
      <c r="Q145">
        <v>0.30462341300000001</v>
      </c>
      <c r="R145" s="4">
        <f>B145*_xlfn.XLOOKUP("Cement",Emission_Factors!$A$2:$A$13,Emission_Factors!$C$2:$C$13)+C145*_xlfn.XLOOKUP("Slag",Emission_Factors!$A$2:$A$13,Emission_Factors!$C$2:$C$13)+D145*_xlfn.XLOOKUP("Silica_Fume",Emission_Factors!$A$2:$A$13,Emission_Factors!$C$2:$C$13)+E145*_xlfn.XLOOKUP("Limestone_Powder",Emission_Factors!$A$2:$A$13,Emission_Factors!$C$2:$C$13)+F145*_xlfn.XLOOKUP("Quartz_Powder",Emission_Factors!$A$2:$A$13,Emission_Factors!$C$2:$C$13)+G145*_xlfn.XLOOKUP("Fly_Ash",Emission_Factors!$A$2:$A$13,Emission_Factors!$C$2:$C$13)+H145*_xlfn.XLOOKUP("Nano_Silica",Emission_Factors!$A$2:$A$13,Emission_Factors!$C$2:$C$13)+I145*_xlfn.XLOOKUP("Aggregate",Emission_Factors!$A$2:$A$13,Emission_Factors!$C$2:$C$13)+J145*_xlfn.XLOOKUP("Water",Emission_Factors!$A$2:$A$13,Emission_Factors!$C$2:$C$13)+K145*_xlfn.XLOOKUP("Fiber_Virgin",Emission_Factors!$A$2:$A$13,Emission_Factors!$C$2:$C$13)+L145*_xlfn.XLOOKUP("Superplasticizer",Emission_Factors!$A$2:$A$13,Emission_Factors!$C$2:$C$13)</f>
        <v>1138.955864</v>
      </c>
      <c r="S145" s="4">
        <f>B145*_xlfn.XLOOKUP("Cement",Emission_Factors!$A$2:$A$13,Emission_Factors!$C$2:$C$13)+C145*_xlfn.XLOOKUP("Slag",Emission_Factors!$A$2:$A$13,Emission_Factors!$C$2:$C$13)+D145*_xlfn.XLOOKUP("Silica_Fume",Emission_Factors!$A$2:$A$13,Emission_Factors!$C$2:$C$13)+E145*_xlfn.XLOOKUP("Limestone_Powder",Emission_Factors!$A$2:$A$13,Emission_Factors!$C$2:$C$13)+F145*_xlfn.XLOOKUP("Quartz_Powder",Emission_Factors!$A$2:$A$13,Emission_Factors!$C$2:$C$13)+G145*_xlfn.XLOOKUP("Fly_Ash",Emission_Factors!$A$2:$A$13,Emission_Factors!$C$2:$C$13)+H145*_xlfn.XLOOKUP("Nano_Silica",Emission_Factors!$A$2:$A$13,Emission_Factors!$C$2:$C$13)+I145*_xlfn.XLOOKUP("Aggregate",Emission_Factors!$A$2:$A$13,Emission_Factors!$C$2:$C$13)+J145*_xlfn.XLOOKUP("Water",Emission_Factors!$A$2:$A$13,Emission_Factors!$C$2:$C$13)+K145*_xlfn.XLOOKUP("Fiber_Recycled",Emission_Factors!$A$2:$A$13,Emission_Factors!$C$2:$C$13)+L145*_xlfn.XLOOKUP("Superplasticizer",Emission_Factors!$A$2:$A$13,Emission_Factors!$C$2:$C$13)</f>
        <v>951.75586399999997</v>
      </c>
    </row>
    <row r="146" spans="1:19" x14ac:dyDescent="0.25">
      <c r="A146">
        <v>732</v>
      </c>
      <c r="B146">
        <v>960</v>
      </c>
      <c r="C146">
        <v>0</v>
      </c>
      <c r="D146">
        <v>240</v>
      </c>
      <c r="E146">
        <v>0</v>
      </c>
      <c r="F146">
        <v>0</v>
      </c>
      <c r="G146">
        <v>0</v>
      </c>
      <c r="H146">
        <v>0</v>
      </c>
      <c r="I146">
        <v>754</v>
      </c>
      <c r="J146">
        <v>234</v>
      </c>
      <c r="K146">
        <v>117</v>
      </c>
      <c r="L146">
        <v>45</v>
      </c>
      <c r="M146">
        <v>23</v>
      </c>
      <c r="N146">
        <v>180</v>
      </c>
      <c r="O146">
        <v>178.1</v>
      </c>
      <c r="P146">
        <v>178.4479</v>
      </c>
      <c r="Q146">
        <v>-0.34790649400000001</v>
      </c>
      <c r="R146" s="4">
        <f>B146*_xlfn.XLOOKUP("Cement",Emission_Factors!$A$2:$A$13,Emission_Factors!$C$2:$C$13)+C146*_xlfn.XLOOKUP("Slag",Emission_Factors!$A$2:$A$13,Emission_Factors!$C$2:$C$13)+D146*_xlfn.XLOOKUP("Silica_Fume",Emission_Factors!$A$2:$A$13,Emission_Factors!$C$2:$C$13)+E146*_xlfn.XLOOKUP("Limestone_Powder",Emission_Factors!$A$2:$A$13,Emission_Factors!$C$2:$C$13)+F146*_xlfn.XLOOKUP("Quartz_Powder",Emission_Factors!$A$2:$A$13,Emission_Factors!$C$2:$C$13)+G146*_xlfn.XLOOKUP("Fly_Ash",Emission_Factors!$A$2:$A$13,Emission_Factors!$C$2:$C$13)+H146*_xlfn.XLOOKUP("Nano_Silica",Emission_Factors!$A$2:$A$13,Emission_Factors!$C$2:$C$13)+I146*_xlfn.XLOOKUP("Aggregate",Emission_Factors!$A$2:$A$13,Emission_Factors!$C$2:$C$13)+J146*_xlfn.XLOOKUP("Water",Emission_Factors!$A$2:$A$13,Emission_Factors!$C$2:$C$13)+K146*_xlfn.XLOOKUP("Fiber_Virgin",Emission_Factors!$A$2:$A$13,Emission_Factors!$C$2:$C$13)+L146*_xlfn.XLOOKUP("Superplasticizer",Emission_Factors!$A$2:$A$13,Emission_Factors!$C$2:$C$13)</f>
        <v>1138.955864</v>
      </c>
      <c r="S146" s="4">
        <f>B146*_xlfn.XLOOKUP("Cement",Emission_Factors!$A$2:$A$13,Emission_Factors!$C$2:$C$13)+C146*_xlfn.XLOOKUP("Slag",Emission_Factors!$A$2:$A$13,Emission_Factors!$C$2:$C$13)+D146*_xlfn.XLOOKUP("Silica_Fume",Emission_Factors!$A$2:$A$13,Emission_Factors!$C$2:$C$13)+E146*_xlfn.XLOOKUP("Limestone_Powder",Emission_Factors!$A$2:$A$13,Emission_Factors!$C$2:$C$13)+F146*_xlfn.XLOOKUP("Quartz_Powder",Emission_Factors!$A$2:$A$13,Emission_Factors!$C$2:$C$13)+G146*_xlfn.XLOOKUP("Fly_Ash",Emission_Factors!$A$2:$A$13,Emission_Factors!$C$2:$C$13)+H146*_xlfn.XLOOKUP("Nano_Silica",Emission_Factors!$A$2:$A$13,Emission_Factors!$C$2:$C$13)+I146*_xlfn.XLOOKUP("Aggregate",Emission_Factors!$A$2:$A$13,Emission_Factors!$C$2:$C$13)+J146*_xlfn.XLOOKUP("Water",Emission_Factors!$A$2:$A$13,Emission_Factors!$C$2:$C$13)+K146*_xlfn.XLOOKUP("Fiber_Recycled",Emission_Factors!$A$2:$A$13,Emission_Factors!$C$2:$C$13)+L146*_xlfn.XLOOKUP("Superplasticizer",Emission_Factors!$A$2:$A$13,Emission_Factors!$C$2:$C$13)</f>
        <v>951.75586399999997</v>
      </c>
    </row>
    <row r="147" spans="1:19" x14ac:dyDescent="0.25">
      <c r="A147">
        <v>744</v>
      </c>
      <c r="B147">
        <v>450</v>
      </c>
      <c r="C147">
        <v>180</v>
      </c>
      <c r="D147">
        <v>90</v>
      </c>
      <c r="E147">
        <v>180</v>
      </c>
      <c r="F147">
        <v>0</v>
      </c>
      <c r="G147">
        <v>0</v>
      </c>
      <c r="H147">
        <v>0</v>
      </c>
      <c r="I147">
        <v>1539</v>
      </c>
      <c r="J147">
        <v>144</v>
      </c>
      <c r="K147">
        <v>0</v>
      </c>
      <c r="L147">
        <v>18</v>
      </c>
      <c r="M147">
        <v>20</v>
      </c>
      <c r="N147">
        <v>365</v>
      </c>
      <c r="O147">
        <v>183</v>
      </c>
      <c r="P147">
        <v>179.05919</v>
      </c>
      <c r="Q147">
        <v>3.9408111570000002</v>
      </c>
      <c r="R147" s="4">
        <f>B147*_xlfn.XLOOKUP("Cement",Emission_Factors!$A$2:$A$13,Emission_Factors!$C$2:$C$13)+C147*_xlfn.XLOOKUP("Slag",Emission_Factors!$A$2:$A$13,Emission_Factors!$C$2:$C$13)+D147*_xlfn.XLOOKUP("Silica_Fume",Emission_Factors!$A$2:$A$13,Emission_Factors!$C$2:$C$13)+E147*_xlfn.XLOOKUP("Limestone_Powder",Emission_Factors!$A$2:$A$13,Emission_Factors!$C$2:$C$13)+F147*_xlfn.XLOOKUP("Quartz_Powder",Emission_Factors!$A$2:$A$13,Emission_Factors!$C$2:$C$13)+G147*_xlfn.XLOOKUP("Fly_Ash",Emission_Factors!$A$2:$A$13,Emission_Factors!$C$2:$C$13)+H147*_xlfn.XLOOKUP("Nano_Silica",Emission_Factors!$A$2:$A$13,Emission_Factors!$C$2:$C$13)+I147*_xlfn.XLOOKUP("Aggregate",Emission_Factors!$A$2:$A$13,Emission_Factors!$C$2:$C$13)+J147*_xlfn.XLOOKUP("Water",Emission_Factors!$A$2:$A$13,Emission_Factors!$C$2:$C$13)+K147*_xlfn.XLOOKUP("Fiber_Virgin",Emission_Factors!$A$2:$A$13,Emission_Factors!$C$2:$C$13)+L147*_xlfn.XLOOKUP("Superplasticizer",Emission_Factors!$A$2:$A$13,Emission_Factors!$C$2:$C$13)</f>
        <v>411.89522400000004</v>
      </c>
      <c r="S147" s="4">
        <f>B147*_xlfn.XLOOKUP("Cement",Emission_Factors!$A$2:$A$13,Emission_Factors!$C$2:$C$13)+C147*_xlfn.XLOOKUP("Slag",Emission_Factors!$A$2:$A$13,Emission_Factors!$C$2:$C$13)+D147*_xlfn.XLOOKUP("Silica_Fume",Emission_Factors!$A$2:$A$13,Emission_Factors!$C$2:$C$13)+E147*_xlfn.XLOOKUP("Limestone_Powder",Emission_Factors!$A$2:$A$13,Emission_Factors!$C$2:$C$13)+F147*_xlfn.XLOOKUP("Quartz_Powder",Emission_Factors!$A$2:$A$13,Emission_Factors!$C$2:$C$13)+G147*_xlfn.XLOOKUP("Fly_Ash",Emission_Factors!$A$2:$A$13,Emission_Factors!$C$2:$C$13)+H147*_xlfn.XLOOKUP("Nano_Silica",Emission_Factors!$A$2:$A$13,Emission_Factors!$C$2:$C$13)+I147*_xlfn.XLOOKUP("Aggregate",Emission_Factors!$A$2:$A$13,Emission_Factors!$C$2:$C$13)+J147*_xlfn.XLOOKUP("Water",Emission_Factors!$A$2:$A$13,Emission_Factors!$C$2:$C$13)+K147*_xlfn.XLOOKUP("Fiber_Recycled",Emission_Factors!$A$2:$A$13,Emission_Factors!$C$2:$C$13)+L147*_xlfn.XLOOKUP("Superplasticizer",Emission_Factors!$A$2:$A$13,Emission_Factors!$C$2:$C$13)</f>
        <v>411.89522400000004</v>
      </c>
    </row>
    <row r="148" spans="1:19" x14ac:dyDescent="0.25">
      <c r="A148">
        <v>746</v>
      </c>
      <c r="B148">
        <v>850</v>
      </c>
      <c r="C148">
        <v>0</v>
      </c>
      <c r="D148">
        <v>260</v>
      </c>
      <c r="E148">
        <v>0</v>
      </c>
      <c r="F148">
        <v>212</v>
      </c>
      <c r="G148">
        <v>0</v>
      </c>
      <c r="H148">
        <v>0</v>
      </c>
      <c r="I148">
        <v>850</v>
      </c>
      <c r="J148">
        <v>170</v>
      </c>
      <c r="K148">
        <v>156</v>
      </c>
      <c r="L148">
        <v>45</v>
      </c>
      <c r="M148">
        <v>23</v>
      </c>
      <c r="N148">
        <v>28</v>
      </c>
      <c r="O148">
        <v>184.4</v>
      </c>
      <c r="P148">
        <v>190.63641000000001</v>
      </c>
      <c r="Q148">
        <v>-6.2364135740000002</v>
      </c>
      <c r="R148" s="4">
        <f>B148*_xlfn.XLOOKUP("Cement",Emission_Factors!$A$2:$A$13,Emission_Factors!$C$2:$C$13)+C148*_xlfn.XLOOKUP("Slag",Emission_Factors!$A$2:$A$13,Emission_Factors!$C$2:$C$13)+D148*_xlfn.XLOOKUP("Silica_Fume",Emission_Factors!$A$2:$A$13,Emission_Factors!$C$2:$C$13)+E148*_xlfn.XLOOKUP("Limestone_Powder",Emission_Factors!$A$2:$A$13,Emission_Factors!$C$2:$C$13)+F148*_xlfn.XLOOKUP("Quartz_Powder",Emission_Factors!$A$2:$A$13,Emission_Factors!$C$2:$C$13)+G148*_xlfn.XLOOKUP("Fly_Ash",Emission_Factors!$A$2:$A$13,Emission_Factors!$C$2:$C$13)+H148*_xlfn.XLOOKUP("Nano_Silica",Emission_Factors!$A$2:$A$13,Emission_Factors!$C$2:$C$13)+I148*_xlfn.XLOOKUP("Aggregate",Emission_Factors!$A$2:$A$13,Emission_Factors!$C$2:$C$13)+J148*_xlfn.XLOOKUP("Water",Emission_Factors!$A$2:$A$13,Emission_Factors!$C$2:$C$13)+K148*_xlfn.XLOOKUP("Fiber_Virgin",Emission_Factors!$A$2:$A$13,Emission_Factors!$C$2:$C$13)+L148*_xlfn.XLOOKUP("Superplasticizer",Emission_Factors!$A$2:$A$13,Emission_Factors!$C$2:$C$13)</f>
        <v>1150.9277200000001</v>
      </c>
      <c r="S148" s="4">
        <f>B148*_xlfn.XLOOKUP("Cement",Emission_Factors!$A$2:$A$13,Emission_Factors!$C$2:$C$13)+C148*_xlfn.XLOOKUP("Slag",Emission_Factors!$A$2:$A$13,Emission_Factors!$C$2:$C$13)+D148*_xlfn.XLOOKUP("Silica_Fume",Emission_Factors!$A$2:$A$13,Emission_Factors!$C$2:$C$13)+E148*_xlfn.XLOOKUP("Limestone_Powder",Emission_Factors!$A$2:$A$13,Emission_Factors!$C$2:$C$13)+F148*_xlfn.XLOOKUP("Quartz_Powder",Emission_Factors!$A$2:$A$13,Emission_Factors!$C$2:$C$13)+G148*_xlfn.XLOOKUP("Fly_Ash",Emission_Factors!$A$2:$A$13,Emission_Factors!$C$2:$C$13)+H148*_xlfn.XLOOKUP("Nano_Silica",Emission_Factors!$A$2:$A$13,Emission_Factors!$C$2:$C$13)+I148*_xlfn.XLOOKUP("Aggregate",Emission_Factors!$A$2:$A$13,Emission_Factors!$C$2:$C$13)+J148*_xlfn.XLOOKUP("Water",Emission_Factors!$A$2:$A$13,Emission_Factors!$C$2:$C$13)+K148*_xlfn.XLOOKUP("Fiber_Recycled",Emission_Factors!$A$2:$A$13,Emission_Factors!$C$2:$C$13)+L148*_xlfn.XLOOKUP("Superplasticizer",Emission_Factors!$A$2:$A$13,Emission_Factors!$C$2:$C$13)</f>
        <v>901.32772</v>
      </c>
    </row>
    <row r="149" spans="1:19" x14ac:dyDescent="0.25">
      <c r="A149">
        <v>747</v>
      </c>
      <c r="B149">
        <v>850</v>
      </c>
      <c r="C149">
        <v>0</v>
      </c>
      <c r="D149">
        <v>260</v>
      </c>
      <c r="E149">
        <v>0</v>
      </c>
      <c r="F149">
        <v>212</v>
      </c>
      <c r="G149">
        <v>0</v>
      </c>
      <c r="H149">
        <v>0</v>
      </c>
      <c r="I149">
        <v>850</v>
      </c>
      <c r="J149">
        <v>170</v>
      </c>
      <c r="K149">
        <v>156</v>
      </c>
      <c r="L149">
        <v>45</v>
      </c>
      <c r="M149">
        <v>23</v>
      </c>
      <c r="N149">
        <v>28</v>
      </c>
      <c r="O149">
        <v>185.2</v>
      </c>
      <c r="P149">
        <v>190.63641000000001</v>
      </c>
      <c r="Q149">
        <v>-5.4364135740000004</v>
      </c>
      <c r="R149" s="4">
        <f>B149*_xlfn.XLOOKUP("Cement",Emission_Factors!$A$2:$A$13,Emission_Factors!$C$2:$C$13)+C149*_xlfn.XLOOKUP("Slag",Emission_Factors!$A$2:$A$13,Emission_Factors!$C$2:$C$13)+D149*_xlfn.XLOOKUP("Silica_Fume",Emission_Factors!$A$2:$A$13,Emission_Factors!$C$2:$C$13)+E149*_xlfn.XLOOKUP("Limestone_Powder",Emission_Factors!$A$2:$A$13,Emission_Factors!$C$2:$C$13)+F149*_xlfn.XLOOKUP("Quartz_Powder",Emission_Factors!$A$2:$A$13,Emission_Factors!$C$2:$C$13)+G149*_xlfn.XLOOKUP("Fly_Ash",Emission_Factors!$A$2:$A$13,Emission_Factors!$C$2:$C$13)+H149*_xlfn.XLOOKUP("Nano_Silica",Emission_Factors!$A$2:$A$13,Emission_Factors!$C$2:$C$13)+I149*_xlfn.XLOOKUP("Aggregate",Emission_Factors!$A$2:$A$13,Emission_Factors!$C$2:$C$13)+J149*_xlfn.XLOOKUP("Water",Emission_Factors!$A$2:$A$13,Emission_Factors!$C$2:$C$13)+K149*_xlfn.XLOOKUP("Fiber_Virgin",Emission_Factors!$A$2:$A$13,Emission_Factors!$C$2:$C$13)+L149*_xlfn.XLOOKUP("Superplasticizer",Emission_Factors!$A$2:$A$13,Emission_Factors!$C$2:$C$13)</f>
        <v>1150.9277200000001</v>
      </c>
      <c r="S149" s="4">
        <f>B149*_xlfn.XLOOKUP("Cement",Emission_Factors!$A$2:$A$13,Emission_Factors!$C$2:$C$13)+C149*_xlfn.XLOOKUP("Slag",Emission_Factors!$A$2:$A$13,Emission_Factors!$C$2:$C$13)+D149*_xlfn.XLOOKUP("Silica_Fume",Emission_Factors!$A$2:$A$13,Emission_Factors!$C$2:$C$13)+E149*_xlfn.XLOOKUP("Limestone_Powder",Emission_Factors!$A$2:$A$13,Emission_Factors!$C$2:$C$13)+F149*_xlfn.XLOOKUP("Quartz_Powder",Emission_Factors!$A$2:$A$13,Emission_Factors!$C$2:$C$13)+G149*_xlfn.XLOOKUP("Fly_Ash",Emission_Factors!$A$2:$A$13,Emission_Factors!$C$2:$C$13)+H149*_xlfn.XLOOKUP("Nano_Silica",Emission_Factors!$A$2:$A$13,Emission_Factors!$C$2:$C$13)+I149*_xlfn.XLOOKUP("Aggregate",Emission_Factors!$A$2:$A$13,Emission_Factors!$C$2:$C$13)+J149*_xlfn.XLOOKUP("Water",Emission_Factors!$A$2:$A$13,Emission_Factors!$C$2:$C$13)+K149*_xlfn.XLOOKUP("Fiber_Recycled",Emission_Factors!$A$2:$A$13,Emission_Factors!$C$2:$C$13)+L149*_xlfn.XLOOKUP("Superplasticizer",Emission_Factors!$A$2:$A$13,Emission_Factors!$C$2:$C$13)</f>
        <v>901.32772</v>
      </c>
    </row>
    <row r="150" spans="1:19" x14ac:dyDescent="0.25">
      <c r="A150">
        <v>748</v>
      </c>
      <c r="B150">
        <v>850</v>
      </c>
      <c r="C150">
        <v>0</v>
      </c>
      <c r="D150">
        <v>260</v>
      </c>
      <c r="E150">
        <v>0</v>
      </c>
      <c r="F150">
        <v>212</v>
      </c>
      <c r="G150">
        <v>0</v>
      </c>
      <c r="H150">
        <v>0</v>
      </c>
      <c r="I150">
        <v>850</v>
      </c>
      <c r="J150">
        <v>170</v>
      </c>
      <c r="K150">
        <v>156</v>
      </c>
      <c r="L150">
        <v>45</v>
      </c>
      <c r="M150">
        <v>23</v>
      </c>
      <c r="N150">
        <v>28</v>
      </c>
      <c r="O150">
        <v>186.1</v>
      </c>
      <c r="P150">
        <v>190.63641000000001</v>
      </c>
      <c r="Q150">
        <v>-4.536413574</v>
      </c>
      <c r="R150" s="4">
        <f>B150*_xlfn.XLOOKUP("Cement",Emission_Factors!$A$2:$A$13,Emission_Factors!$C$2:$C$13)+C150*_xlfn.XLOOKUP("Slag",Emission_Factors!$A$2:$A$13,Emission_Factors!$C$2:$C$13)+D150*_xlfn.XLOOKUP("Silica_Fume",Emission_Factors!$A$2:$A$13,Emission_Factors!$C$2:$C$13)+E150*_xlfn.XLOOKUP("Limestone_Powder",Emission_Factors!$A$2:$A$13,Emission_Factors!$C$2:$C$13)+F150*_xlfn.XLOOKUP("Quartz_Powder",Emission_Factors!$A$2:$A$13,Emission_Factors!$C$2:$C$13)+G150*_xlfn.XLOOKUP("Fly_Ash",Emission_Factors!$A$2:$A$13,Emission_Factors!$C$2:$C$13)+H150*_xlfn.XLOOKUP("Nano_Silica",Emission_Factors!$A$2:$A$13,Emission_Factors!$C$2:$C$13)+I150*_xlfn.XLOOKUP("Aggregate",Emission_Factors!$A$2:$A$13,Emission_Factors!$C$2:$C$13)+J150*_xlfn.XLOOKUP("Water",Emission_Factors!$A$2:$A$13,Emission_Factors!$C$2:$C$13)+K150*_xlfn.XLOOKUP("Fiber_Virgin",Emission_Factors!$A$2:$A$13,Emission_Factors!$C$2:$C$13)+L150*_xlfn.XLOOKUP("Superplasticizer",Emission_Factors!$A$2:$A$13,Emission_Factors!$C$2:$C$13)</f>
        <v>1150.9277200000001</v>
      </c>
      <c r="S150" s="4">
        <f>B150*_xlfn.XLOOKUP("Cement",Emission_Factors!$A$2:$A$13,Emission_Factors!$C$2:$C$13)+C150*_xlfn.XLOOKUP("Slag",Emission_Factors!$A$2:$A$13,Emission_Factors!$C$2:$C$13)+D150*_xlfn.XLOOKUP("Silica_Fume",Emission_Factors!$A$2:$A$13,Emission_Factors!$C$2:$C$13)+E150*_xlfn.XLOOKUP("Limestone_Powder",Emission_Factors!$A$2:$A$13,Emission_Factors!$C$2:$C$13)+F150*_xlfn.XLOOKUP("Quartz_Powder",Emission_Factors!$A$2:$A$13,Emission_Factors!$C$2:$C$13)+G150*_xlfn.XLOOKUP("Fly_Ash",Emission_Factors!$A$2:$A$13,Emission_Factors!$C$2:$C$13)+H150*_xlfn.XLOOKUP("Nano_Silica",Emission_Factors!$A$2:$A$13,Emission_Factors!$C$2:$C$13)+I150*_xlfn.XLOOKUP("Aggregate",Emission_Factors!$A$2:$A$13,Emission_Factors!$C$2:$C$13)+J150*_xlfn.XLOOKUP("Water",Emission_Factors!$A$2:$A$13,Emission_Factors!$C$2:$C$13)+K150*_xlfn.XLOOKUP("Fiber_Recycled",Emission_Factors!$A$2:$A$13,Emission_Factors!$C$2:$C$13)+L150*_xlfn.XLOOKUP("Superplasticizer",Emission_Factors!$A$2:$A$13,Emission_Factors!$C$2:$C$13)</f>
        <v>901.32772</v>
      </c>
    </row>
    <row r="151" spans="1:19" x14ac:dyDescent="0.25">
      <c r="A151">
        <v>749</v>
      </c>
      <c r="B151">
        <v>788.5</v>
      </c>
      <c r="C151">
        <v>0</v>
      </c>
      <c r="D151">
        <v>433.7</v>
      </c>
      <c r="E151">
        <v>0</v>
      </c>
      <c r="F151">
        <v>0</v>
      </c>
      <c r="G151">
        <v>0</v>
      </c>
      <c r="H151">
        <v>0</v>
      </c>
      <c r="I151">
        <v>867.4</v>
      </c>
      <c r="J151">
        <v>160.30000000000001</v>
      </c>
      <c r="K151">
        <v>78</v>
      </c>
      <c r="L151">
        <v>52.6</v>
      </c>
      <c r="M151">
        <v>23</v>
      </c>
      <c r="N151">
        <v>28</v>
      </c>
      <c r="O151">
        <v>186.7</v>
      </c>
      <c r="P151">
        <v>213.65654000000001</v>
      </c>
      <c r="Q151">
        <v>-26.956539920000001</v>
      </c>
      <c r="R151" s="4">
        <f>B151*_xlfn.XLOOKUP("Cement",Emission_Factors!$A$2:$A$13,Emission_Factors!$C$2:$C$13)+C151*_xlfn.XLOOKUP("Slag",Emission_Factors!$A$2:$A$13,Emission_Factors!$C$2:$C$13)+D151*_xlfn.XLOOKUP("Silica_Fume",Emission_Factors!$A$2:$A$13,Emission_Factors!$C$2:$C$13)+E151*_xlfn.XLOOKUP("Limestone_Powder",Emission_Factors!$A$2:$A$13,Emission_Factors!$C$2:$C$13)+F151*_xlfn.XLOOKUP("Quartz_Powder",Emission_Factors!$A$2:$A$13,Emission_Factors!$C$2:$C$13)+G151*_xlfn.XLOOKUP("Fly_Ash",Emission_Factors!$A$2:$A$13,Emission_Factors!$C$2:$C$13)+H151*_xlfn.XLOOKUP("Nano_Silica",Emission_Factors!$A$2:$A$13,Emission_Factors!$C$2:$C$13)+I151*_xlfn.XLOOKUP("Aggregate",Emission_Factors!$A$2:$A$13,Emission_Factors!$C$2:$C$13)+J151*_xlfn.XLOOKUP("Water",Emission_Factors!$A$2:$A$13,Emission_Factors!$C$2:$C$13)+K151*_xlfn.XLOOKUP("Fiber_Virgin",Emission_Factors!$A$2:$A$13,Emission_Factors!$C$2:$C$13)+L151*_xlfn.XLOOKUP("Superplasticizer",Emission_Factors!$A$2:$A$13,Emission_Factors!$C$2:$C$13)</f>
        <v>909.54961879999996</v>
      </c>
      <c r="S151" s="4">
        <f>B151*_xlfn.XLOOKUP("Cement",Emission_Factors!$A$2:$A$13,Emission_Factors!$C$2:$C$13)+C151*_xlfn.XLOOKUP("Slag",Emission_Factors!$A$2:$A$13,Emission_Factors!$C$2:$C$13)+D151*_xlfn.XLOOKUP("Silica_Fume",Emission_Factors!$A$2:$A$13,Emission_Factors!$C$2:$C$13)+E151*_xlfn.XLOOKUP("Limestone_Powder",Emission_Factors!$A$2:$A$13,Emission_Factors!$C$2:$C$13)+F151*_xlfn.XLOOKUP("Quartz_Powder",Emission_Factors!$A$2:$A$13,Emission_Factors!$C$2:$C$13)+G151*_xlfn.XLOOKUP("Fly_Ash",Emission_Factors!$A$2:$A$13,Emission_Factors!$C$2:$C$13)+H151*_xlfn.XLOOKUP("Nano_Silica",Emission_Factors!$A$2:$A$13,Emission_Factors!$C$2:$C$13)+I151*_xlfn.XLOOKUP("Aggregate",Emission_Factors!$A$2:$A$13,Emission_Factors!$C$2:$C$13)+J151*_xlfn.XLOOKUP("Water",Emission_Factors!$A$2:$A$13,Emission_Factors!$C$2:$C$13)+K151*_xlfn.XLOOKUP("Fiber_Recycled",Emission_Factors!$A$2:$A$13,Emission_Factors!$C$2:$C$13)+L151*_xlfn.XLOOKUP("Superplasticizer",Emission_Factors!$A$2:$A$13,Emission_Factors!$C$2:$C$13)</f>
        <v>784.74961880000001</v>
      </c>
    </row>
    <row r="152" spans="1:19" x14ac:dyDescent="0.25">
      <c r="A152">
        <v>751</v>
      </c>
      <c r="B152">
        <v>788.5</v>
      </c>
      <c r="C152">
        <v>0</v>
      </c>
      <c r="D152">
        <v>197.1</v>
      </c>
      <c r="E152">
        <v>0</v>
      </c>
      <c r="F152">
        <v>0</v>
      </c>
      <c r="G152">
        <v>0</v>
      </c>
      <c r="H152">
        <v>0</v>
      </c>
      <c r="I152">
        <v>1104</v>
      </c>
      <c r="J152">
        <v>160.30000000000001</v>
      </c>
      <c r="K152">
        <v>156</v>
      </c>
      <c r="L152">
        <v>50</v>
      </c>
      <c r="M152">
        <v>23</v>
      </c>
      <c r="N152">
        <v>28</v>
      </c>
      <c r="O152">
        <v>187.1</v>
      </c>
      <c r="P152">
        <v>197.51064</v>
      </c>
      <c r="Q152">
        <v>-10.41063538</v>
      </c>
      <c r="R152" s="4">
        <f>B152*_xlfn.XLOOKUP("Cement",Emission_Factors!$A$2:$A$13,Emission_Factors!$C$2:$C$13)+C152*_xlfn.XLOOKUP("Slag",Emission_Factors!$A$2:$A$13,Emission_Factors!$C$2:$C$13)+D152*_xlfn.XLOOKUP("Silica_Fume",Emission_Factors!$A$2:$A$13,Emission_Factors!$C$2:$C$13)+E152*_xlfn.XLOOKUP("Limestone_Powder",Emission_Factors!$A$2:$A$13,Emission_Factors!$C$2:$C$13)+F152*_xlfn.XLOOKUP("Quartz_Powder",Emission_Factors!$A$2:$A$13,Emission_Factors!$C$2:$C$13)+G152*_xlfn.XLOOKUP("Fly_Ash",Emission_Factors!$A$2:$A$13,Emission_Factors!$C$2:$C$13)+H152*_xlfn.XLOOKUP("Nano_Silica",Emission_Factors!$A$2:$A$13,Emission_Factors!$C$2:$C$13)+I152*_xlfn.XLOOKUP("Aggregate",Emission_Factors!$A$2:$A$13,Emission_Factors!$C$2:$C$13)+J152*_xlfn.XLOOKUP("Water",Emission_Factors!$A$2:$A$13,Emission_Factors!$C$2:$C$13)+K152*_xlfn.XLOOKUP("Fiber_Virgin",Emission_Factors!$A$2:$A$13,Emission_Factors!$C$2:$C$13)+L152*_xlfn.XLOOKUP("Superplasticizer",Emission_Factors!$A$2:$A$13,Emission_Factors!$C$2:$C$13)</f>
        <v>1099.9658188000001</v>
      </c>
      <c r="S152" s="4">
        <f>B152*_xlfn.XLOOKUP("Cement",Emission_Factors!$A$2:$A$13,Emission_Factors!$C$2:$C$13)+C152*_xlfn.XLOOKUP("Slag",Emission_Factors!$A$2:$A$13,Emission_Factors!$C$2:$C$13)+D152*_xlfn.XLOOKUP("Silica_Fume",Emission_Factors!$A$2:$A$13,Emission_Factors!$C$2:$C$13)+E152*_xlfn.XLOOKUP("Limestone_Powder",Emission_Factors!$A$2:$A$13,Emission_Factors!$C$2:$C$13)+F152*_xlfn.XLOOKUP("Quartz_Powder",Emission_Factors!$A$2:$A$13,Emission_Factors!$C$2:$C$13)+G152*_xlfn.XLOOKUP("Fly_Ash",Emission_Factors!$A$2:$A$13,Emission_Factors!$C$2:$C$13)+H152*_xlfn.XLOOKUP("Nano_Silica",Emission_Factors!$A$2:$A$13,Emission_Factors!$C$2:$C$13)+I152*_xlfn.XLOOKUP("Aggregate",Emission_Factors!$A$2:$A$13,Emission_Factors!$C$2:$C$13)+J152*_xlfn.XLOOKUP("Water",Emission_Factors!$A$2:$A$13,Emission_Factors!$C$2:$C$13)+K152*_xlfn.XLOOKUP("Fiber_Recycled",Emission_Factors!$A$2:$A$13,Emission_Factors!$C$2:$C$13)+L152*_xlfn.XLOOKUP("Superplasticizer",Emission_Factors!$A$2:$A$13,Emission_Factors!$C$2:$C$13)</f>
        <v>850.36581879999994</v>
      </c>
    </row>
    <row r="153" spans="1:19" x14ac:dyDescent="0.25">
      <c r="A153">
        <v>755</v>
      </c>
      <c r="B153">
        <v>850</v>
      </c>
      <c r="C153">
        <v>0</v>
      </c>
      <c r="D153">
        <v>260</v>
      </c>
      <c r="E153">
        <v>0</v>
      </c>
      <c r="F153">
        <v>212</v>
      </c>
      <c r="G153">
        <v>0</v>
      </c>
      <c r="H153">
        <v>0</v>
      </c>
      <c r="I153">
        <v>850</v>
      </c>
      <c r="J153">
        <v>170</v>
      </c>
      <c r="K153">
        <v>156</v>
      </c>
      <c r="L153">
        <v>45</v>
      </c>
      <c r="M153">
        <v>23</v>
      </c>
      <c r="N153">
        <v>28</v>
      </c>
      <c r="O153">
        <v>191.2</v>
      </c>
      <c r="P153">
        <v>190.63641000000001</v>
      </c>
      <c r="Q153">
        <v>0.56358642599999997</v>
      </c>
      <c r="R153" s="4">
        <f>B153*_xlfn.XLOOKUP("Cement",Emission_Factors!$A$2:$A$13,Emission_Factors!$C$2:$C$13)+C153*_xlfn.XLOOKUP("Slag",Emission_Factors!$A$2:$A$13,Emission_Factors!$C$2:$C$13)+D153*_xlfn.XLOOKUP("Silica_Fume",Emission_Factors!$A$2:$A$13,Emission_Factors!$C$2:$C$13)+E153*_xlfn.XLOOKUP("Limestone_Powder",Emission_Factors!$A$2:$A$13,Emission_Factors!$C$2:$C$13)+F153*_xlfn.XLOOKUP("Quartz_Powder",Emission_Factors!$A$2:$A$13,Emission_Factors!$C$2:$C$13)+G153*_xlfn.XLOOKUP("Fly_Ash",Emission_Factors!$A$2:$A$13,Emission_Factors!$C$2:$C$13)+H153*_xlfn.XLOOKUP("Nano_Silica",Emission_Factors!$A$2:$A$13,Emission_Factors!$C$2:$C$13)+I153*_xlfn.XLOOKUP("Aggregate",Emission_Factors!$A$2:$A$13,Emission_Factors!$C$2:$C$13)+J153*_xlfn.XLOOKUP("Water",Emission_Factors!$A$2:$A$13,Emission_Factors!$C$2:$C$13)+K153*_xlfn.XLOOKUP("Fiber_Virgin",Emission_Factors!$A$2:$A$13,Emission_Factors!$C$2:$C$13)+L153*_xlfn.XLOOKUP("Superplasticizer",Emission_Factors!$A$2:$A$13,Emission_Factors!$C$2:$C$13)</f>
        <v>1150.9277200000001</v>
      </c>
      <c r="S153" s="4">
        <f>B153*_xlfn.XLOOKUP("Cement",Emission_Factors!$A$2:$A$13,Emission_Factors!$C$2:$C$13)+C153*_xlfn.XLOOKUP("Slag",Emission_Factors!$A$2:$A$13,Emission_Factors!$C$2:$C$13)+D153*_xlfn.XLOOKUP("Silica_Fume",Emission_Factors!$A$2:$A$13,Emission_Factors!$C$2:$C$13)+E153*_xlfn.XLOOKUP("Limestone_Powder",Emission_Factors!$A$2:$A$13,Emission_Factors!$C$2:$C$13)+F153*_xlfn.XLOOKUP("Quartz_Powder",Emission_Factors!$A$2:$A$13,Emission_Factors!$C$2:$C$13)+G153*_xlfn.XLOOKUP("Fly_Ash",Emission_Factors!$A$2:$A$13,Emission_Factors!$C$2:$C$13)+H153*_xlfn.XLOOKUP("Nano_Silica",Emission_Factors!$A$2:$A$13,Emission_Factors!$C$2:$C$13)+I153*_xlfn.XLOOKUP("Aggregate",Emission_Factors!$A$2:$A$13,Emission_Factors!$C$2:$C$13)+J153*_xlfn.XLOOKUP("Water",Emission_Factors!$A$2:$A$13,Emission_Factors!$C$2:$C$13)+K153*_xlfn.XLOOKUP("Fiber_Recycled",Emission_Factors!$A$2:$A$13,Emission_Factors!$C$2:$C$13)+L153*_xlfn.XLOOKUP("Superplasticizer",Emission_Factors!$A$2:$A$13,Emission_Factors!$C$2:$C$13)</f>
        <v>901.32772</v>
      </c>
    </row>
    <row r="154" spans="1:19" x14ac:dyDescent="0.25">
      <c r="A154">
        <v>759</v>
      </c>
      <c r="B154">
        <v>850</v>
      </c>
      <c r="C154">
        <v>0</v>
      </c>
      <c r="D154">
        <v>260</v>
      </c>
      <c r="E154">
        <v>0</v>
      </c>
      <c r="F154">
        <v>212</v>
      </c>
      <c r="G154">
        <v>0</v>
      </c>
      <c r="H154">
        <v>0</v>
      </c>
      <c r="I154">
        <v>850</v>
      </c>
      <c r="J154">
        <v>170</v>
      </c>
      <c r="K154">
        <v>156</v>
      </c>
      <c r="L154">
        <v>45</v>
      </c>
      <c r="M154">
        <v>23</v>
      </c>
      <c r="N154">
        <v>28</v>
      </c>
      <c r="O154">
        <v>194.9</v>
      </c>
      <c r="P154">
        <v>190.63641000000001</v>
      </c>
      <c r="Q154">
        <v>4.2635864259999998</v>
      </c>
      <c r="R154" s="4">
        <f>B154*_xlfn.XLOOKUP("Cement",Emission_Factors!$A$2:$A$13,Emission_Factors!$C$2:$C$13)+C154*_xlfn.XLOOKUP("Slag",Emission_Factors!$A$2:$A$13,Emission_Factors!$C$2:$C$13)+D154*_xlfn.XLOOKUP("Silica_Fume",Emission_Factors!$A$2:$A$13,Emission_Factors!$C$2:$C$13)+E154*_xlfn.XLOOKUP("Limestone_Powder",Emission_Factors!$A$2:$A$13,Emission_Factors!$C$2:$C$13)+F154*_xlfn.XLOOKUP("Quartz_Powder",Emission_Factors!$A$2:$A$13,Emission_Factors!$C$2:$C$13)+G154*_xlfn.XLOOKUP("Fly_Ash",Emission_Factors!$A$2:$A$13,Emission_Factors!$C$2:$C$13)+H154*_xlfn.XLOOKUP("Nano_Silica",Emission_Factors!$A$2:$A$13,Emission_Factors!$C$2:$C$13)+I154*_xlfn.XLOOKUP("Aggregate",Emission_Factors!$A$2:$A$13,Emission_Factors!$C$2:$C$13)+J154*_xlfn.XLOOKUP("Water",Emission_Factors!$A$2:$A$13,Emission_Factors!$C$2:$C$13)+K154*_xlfn.XLOOKUP("Fiber_Virgin",Emission_Factors!$A$2:$A$13,Emission_Factors!$C$2:$C$13)+L154*_xlfn.XLOOKUP("Superplasticizer",Emission_Factors!$A$2:$A$13,Emission_Factors!$C$2:$C$13)</f>
        <v>1150.9277200000001</v>
      </c>
      <c r="S154" s="4">
        <f>B154*_xlfn.XLOOKUP("Cement",Emission_Factors!$A$2:$A$13,Emission_Factors!$C$2:$C$13)+C154*_xlfn.XLOOKUP("Slag",Emission_Factors!$A$2:$A$13,Emission_Factors!$C$2:$C$13)+D154*_xlfn.XLOOKUP("Silica_Fume",Emission_Factors!$A$2:$A$13,Emission_Factors!$C$2:$C$13)+E154*_xlfn.XLOOKUP("Limestone_Powder",Emission_Factors!$A$2:$A$13,Emission_Factors!$C$2:$C$13)+F154*_xlfn.XLOOKUP("Quartz_Powder",Emission_Factors!$A$2:$A$13,Emission_Factors!$C$2:$C$13)+G154*_xlfn.XLOOKUP("Fly_Ash",Emission_Factors!$A$2:$A$13,Emission_Factors!$C$2:$C$13)+H154*_xlfn.XLOOKUP("Nano_Silica",Emission_Factors!$A$2:$A$13,Emission_Factors!$C$2:$C$13)+I154*_xlfn.XLOOKUP("Aggregate",Emission_Factors!$A$2:$A$13,Emission_Factors!$C$2:$C$13)+J154*_xlfn.XLOOKUP("Water",Emission_Factors!$A$2:$A$13,Emission_Factors!$C$2:$C$13)+K154*_xlfn.XLOOKUP("Fiber_Recycled",Emission_Factors!$A$2:$A$13,Emission_Factors!$C$2:$C$13)+L154*_xlfn.XLOOKUP("Superplasticizer",Emission_Factors!$A$2:$A$13,Emission_Factors!$C$2:$C$13)</f>
        <v>901.32772</v>
      </c>
    </row>
    <row r="155" spans="1:19" x14ac:dyDescent="0.25">
      <c r="A155">
        <v>762</v>
      </c>
      <c r="B155">
        <v>850</v>
      </c>
      <c r="C155">
        <v>0</v>
      </c>
      <c r="D155">
        <v>260</v>
      </c>
      <c r="E155">
        <v>0</v>
      </c>
      <c r="F155">
        <v>212</v>
      </c>
      <c r="G155">
        <v>0</v>
      </c>
      <c r="H155">
        <v>0</v>
      </c>
      <c r="I155">
        <v>850</v>
      </c>
      <c r="J155">
        <v>170</v>
      </c>
      <c r="K155">
        <v>156</v>
      </c>
      <c r="L155">
        <v>45</v>
      </c>
      <c r="M155">
        <v>23</v>
      </c>
      <c r="N155">
        <v>28</v>
      </c>
      <c r="O155">
        <v>196.9</v>
      </c>
      <c r="P155">
        <v>190.63641000000001</v>
      </c>
      <c r="Q155">
        <v>6.2635864259999998</v>
      </c>
      <c r="R155" s="4">
        <f>B155*_xlfn.XLOOKUP("Cement",Emission_Factors!$A$2:$A$13,Emission_Factors!$C$2:$C$13)+C155*_xlfn.XLOOKUP("Slag",Emission_Factors!$A$2:$A$13,Emission_Factors!$C$2:$C$13)+D155*_xlfn.XLOOKUP("Silica_Fume",Emission_Factors!$A$2:$A$13,Emission_Factors!$C$2:$C$13)+E155*_xlfn.XLOOKUP("Limestone_Powder",Emission_Factors!$A$2:$A$13,Emission_Factors!$C$2:$C$13)+F155*_xlfn.XLOOKUP("Quartz_Powder",Emission_Factors!$A$2:$A$13,Emission_Factors!$C$2:$C$13)+G155*_xlfn.XLOOKUP("Fly_Ash",Emission_Factors!$A$2:$A$13,Emission_Factors!$C$2:$C$13)+H155*_xlfn.XLOOKUP("Nano_Silica",Emission_Factors!$A$2:$A$13,Emission_Factors!$C$2:$C$13)+I155*_xlfn.XLOOKUP("Aggregate",Emission_Factors!$A$2:$A$13,Emission_Factors!$C$2:$C$13)+J155*_xlfn.XLOOKUP("Water",Emission_Factors!$A$2:$A$13,Emission_Factors!$C$2:$C$13)+K155*_xlfn.XLOOKUP("Fiber_Virgin",Emission_Factors!$A$2:$A$13,Emission_Factors!$C$2:$C$13)+L155*_xlfn.XLOOKUP("Superplasticizer",Emission_Factors!$A$2:$A$13,Emission_Factors!$C$2:$C$13)</f>
        <v>1150.9277200000001</v>
      </c>
      <c r="S155" s="4">
        <f>B155*_xlfn.XLOOKUP("Cement",Emission_Factors!$A$2:$A$13,Emission_Factors!$C$2:$C$13)+C155*_xlfn.XLOOKUP("Slag",Emission_Factors!$A$2:$A$13,Emission_Factors!$C$2:$C$13)+D155*_xlfn.XLOOKUP("Silica_Fume",Emission_Factors!$A$2:$A$13,Emission_Factors!$C$2:$C$13)+E155*_xlfn.XLOOKUP("Limestone_Powder",Emission_Factors!$A$2:$A$13,Emission_Factors!$C$2:$C$13)+F155*_xlfn.XLOOKUP("Quartz_Powder",Emission_Factors!$A$2:$A$13,Emission_Factors!$C$2:$C$13)+G155*_xlfn.XLOOKUP("Fly_Ash",Emission_Factors!$A$2:$A$13,Emission_Factors!$C$2:$C$13)+H155*_xlfn.XLOOKUP("Nano_Silica",Emission_Factors!$A$2:$A$13,Emission_Factors!$C$2:$C$13)+I155*_xlfn.XLOOKUP("Aggregate",Emission_Factors!$A$2:$A$13,Emission_Factors!$C$2:$C$13)+J155*_xlfn.XLOOKUP("Water",Emission_Factors!$A$2:$A$13,Emission_Factors!$C$2:$C$13)+K155*_xlfn.XLOOKUP("Fiber_Recycled",Emission_Factors!$A$2:$A$13,Emission_Factors!$C$2:$C$13)+L155*_xlfn.XLOOKUP("Superplasticizer",Emission_Factors!$A$2:$A$13,Emission_Factors!$C$2:$C$13)</f>
        <v>901.32772</v>
      </c>
    </row>
    <row r="156" spans="1:19" x14ac:dyDescent="0.25">
      <c r="A156">
        <v>767</v>
      </c>
      <c r="B156">
        <v>788.5</v>
      </c>
      <c r="C156">
        <v>0</v>
      </c>
      <c r="D156">
        <v>433.7</v>
      </c>
      <c r="E156">
        <v>0</v>
      </c>
      <c r="F156">
        <v>0</v>
      </c>
      <c r="G156">
        <v>0</v>
      </c>
      <c r="H156">
        <v>0</v>
      </c>
      <c r="I156">
        <v>867.4</v>
      </c>
      <c r="J156">
        <v>160.30000000000001</v>
      </c>
      <c r="K156">
        <v>78</v>
      </c>
      <c r="L156">
        <v>52.6</v>
      </c>
      <c r="M156">
        <v>23</v>
      </c>
      <c r="N156">
        <v>28</v>
      </c>
      <c r="O156">
        <v>199.6</v>
      </c>
      <c r="P156">
        <v>213.65654000000001</v>
      </c>
      <c r="Q156">
        <v>-14.056539920000001</v>
      </c>
      <c r="R156" s="4">
        <f>B156*_xlfn.XLOOKUP("Cement",Emission_Factors!$A$2:$A$13,Emission_Factors!$C$2:$C$13)+C156*_xlfn.XLOOKUP("Slag",Emission_Factors!$A$2:$A$13,Emission_Factors!$C$2:$C$13)+D156*_xlfn.XLOOKUP("Silica_Fume",Emission_Factors!$A$2:$A$13,Emission_Factors!$C$2:$C$13)+E156*_xlfn.XLOOKUP("Limestone_Powder",Emission_Factors!$A$2:$A$13,Emission_Factors!$C$2:$C$13)+F156*_xlfn.XLOOKUP("Quartz_Powder",Emission_Factors!$A$2:$A$13,Emission_Factors!$C$2:$C$13)+G156*_xlfn.XLOOKUP("Fly_Ash",Emission_Factors!$A$2:$A$13,Emission_Factors!$C$2:$C$13)+H156*_xlfn.XLOOKUP("Nano_Silica",Emission_Factors!$A$2:$A$13,Emission_Factors!$C$2:$C$13)+I156*_xlfn.XLOOKUP("Aggregate",Emission_Factors!$A$2:$A$13,Emission_Factors!$C$2:$C$13)+J156*_xlfn.XLOOKUP("Water",Emission_Factors!$A$2:$A$13,Emission_Factors!$C$2:$C$13)+K156*_xlfn.XLOOKUP("Fiber_Virgin",Emission_Factors!$A$2:$A$13,Emission_Factors!$C$2:$C$13)+L156*_xlfn.XLOOKUP("Superplasticizer",Emission_Factors!$A$2:$A$13,Emission_Factors!$C$2:$C$13)</f>
        <v>909.54961879999996</v>
      </c>
      <c r="S156" s="4">
        <f>B156*_xlfn.XLOOKUP("Cement",Emission_Factors!$A$2:$A$13,Emission_Factors!$C$2:$C$13)+C156*_xlfn.XLOOKUP("Slag",Emission_Factors!$A$2:$A$13,Emission_Factors!$C$2:$C$13)+D156*_xlfn.XLOOKUP("Silica_Fume",Emission_Factors!$A$2:$A$13,Emission_Factors!$C$2:$C$13)+E156*_xlfn.XLOOKUP("Limestone_Powder",Emission_Factors!$A$2:$A$13,Emission_Factors!$C$2:$C$13)+F156*_xlfn.XLOOKUP("Quartz_Powder",Emission_Factors!$A$2:$A$13,Emission_Factors!$C$2:$C$13)+G156*_xlfn.XLOOKUP("Fly_Ash",Emission_Factors!$A$2:$A$13,Emission_Factors!$C$2:$C$13)+H156*_xlfn.XLOOKUP("Nano_Silica",Emission_Factors!$A$2:$A$13,Emission_Factors!$C$2:$C$13)+I156*_xlfn.XLOOKUP("Aggregate",Emission_Factors!$A$2:$A$13,Emission_Factors!$C$2:$C$13)+J156*_xlfn.XLOOKUP("Water",Emission_Factors!$A$2:$A$13,Emission_Factors!$C$2:$C$13)+K156*_xlfn.XLOOKUP("Fiber_Recycled",Emission_Factors!$A$2:$A$13,Emission_Factors!$C$2:$C$13)+L156*_xlfn.XLOOKUP("Superplasticizer",Emission_Factors!$A$2:$A$13,Emission_Factors!$C$2:$C$13)</f>
        <v>784.74961880000001</v>
      </c>
    </row>
    <row r="157" spans="1:19" x14ac:dyDescent="0.25">
      <c r="A157">
        <v>770</v>
      </c>
      <c r="B157">
        <v>850</v>
      </c>
      <c r="C157">
        <v>0</v>
      </c>
      <c r="D157">
        <v>260</v>
      </c>
      <c r="E157">
        <v>0</v>
      </c>
      <c r="F157">
        <v>212</v>
      </c>
      <c r="G157">
        <v>0</v>
      </c>
      <c r="H157">
        <v>0</v>
      </c>
      <c r="I157">
        <v>850</v>
      </c>
      <c r="J157">
        <v>170</v>
      </c>
      <c r="K157">
        <v>156</v>
      </c>
      <c r="L157">
        <v>45</v>
      </c>
      <c r="M157">
        <v>23</v>
      </c>
      <c r="N157">
        <v>28</v>
      </c>
      <c r="O157">
        <v>201.2</v>
      </c>
      <c r="P157">
        <v>190.63641000000001</v>
      </c>
      <c r="Q157">
        <v>10.563586430000001</v>
      </c>
      <c r="R157" s="4">
        <f>B157*_xlfn.XLOOKUP("Cement",Emission_Factors!$A$2:$A$13,Emission_Factors!$C$2:$C$13)+C157*_xlfn.XLOOKUP("Slag",Emission_Factors!$A$2:$A$13,Emission_Factors!$C$2:$C$13)+D157*_xlfn.XLOOKUP("Silica_Fume",Emission_Factors!$A$2:$A$13,Emission_Factors!$C$2:$C$13)+E157*_xlfn.XLOOKUP("Limestone_Powder",Emission_Factors!$A$2:$A$13,Emission_Factors!$C$2:$C$13)+F157*_xlfn.XLOOKUP("Quartz_Powder",Emission_Factors!$A$2:$A$13,Emission_Factors!$C$2:$C$13)+G157*_xlfn.XLOOKUP("Fly_Ash",Emission_Factors!$A$2:$A$13,Emission_Factors!$C$2:$C$13)+H157*_xlfn.XLOOKUP("Nano_Silica",Emission_Factors!$A$2:$A$13,Emission_Factors!$C$2:$C$13)+I157*_xlfn.XLOOKUP("Aggregate",Emission_Factors!$A$2:$A$13,Emission_Factors!$C$2:$C$13)+J157*_xlfn.XLOOKUP("Water",Emission_Factors!$A$2:$A$13,Emission_Factors!$C$2:$C$13)+K157*_xlfn.XLOOKUP("Fiber_Virgin",Emission_Factors!$A$2:$A$13,Emission_Factors!$C$2:$C$13)+L157*_xlfn.XLOOKUP("Superplasticizer",Emission_Factors!$A$2:$A$13,Emission_Factors!$C$2:$C$13)</f>
        <v>1150.9277200000001</v>
      </c>
      <c r="S157" s="4">
        <f>B157*_xlfn.XLOOKUP("Cement",Emission_Factors!$A$2:$A$13,Emission_Factors!$C$2:$C$13)+C157*_xlfn.XLOOKUP("Slag",Emission_Factors!$A$2:$A$13,Emission_Factors!$C$2:$C$13)+D157*_xlfn.XLOOKUP("Silica_Fume",Emission_Factors!$A$2:$A$13,Emission_Factors!$C$2:$C$13)+E157*_xlfn.XLOOKUP("Limestone_Powder",Emission_Factors!$A$2:$A$13,Emission_Factors!$C$2:$C$13)+F157*_xlfn.XLOOKUP("Quartz_Powder",Emission_Factors!$A$2:$A$13,Emission_Factors!$C$2:$C$13)+G157*_xlfn.XLOOKUP("Fly_Ash",Emission_Factors!$A$2:$A$13,Emission_Factors!$C$2:$C$13)+H157*_xlfn.XLOOKUP("Nano_Silica",Emission_Factors!$A$2:$A$13,Emission_Factors!$C$2:$C$13)+I157*_xlfn.XLOOKUP("Aggregate",Emission_Factors!$A$2:$A$13,Emission_Factors!$C$2:$C$13)+J157*_xlfn.XLOOKUP("Water",Emission_Factors!$A$2:$A$13,Emission_Factors!$C$2:$C$13)+K157*_xlfn.XLOOKUP("Fiber_Recycled",Emission_Factors!$A$2:$A$13,Emission_Factors!$C$2:$C$13)+L157*_xlfn.XLOOKUP("Superplasticizer",Emission_Factors!$A$2:$A$13,Emission_Factors!$C$2:$C$13)</f>
        <v>901.32772</v>
      </c>
    </row>
    <row r="158" spans="1:19" x14ac:dyDescent="0.25">
      <c r="A158">
        <v>779</v>
      </c>
      <c r="B158">
        <v>850</v>
      </c>
      <c r="C158">
        <v>0</v>
      </c>
      <c r="D158">
        <v>260</v>
      </c>
      <c r="E158">
        <v>0</v>
      </c>
      <c r="F158">
        <v>212</v>
      </c>
      <c r="G158">
        <v>0</v>
      </c>
      <c r="H158">
        <v>0</v>
      </c>
      <c r="I158">
        <v>850</v>
      </c>
      <c r="J158">
        <v>170</v>
      </c>
      <c r="K158">
        <v>156</v>
      </c>
      <c r="L158">
        <v>45</v>
      </c>
      <c r="M158">
        <v>23</v>
      </c>
      <c r="N158">
        <v>28</v>
      </c>
      <c r="O158">
        <v>206.78</v>
      </c>
      <c r="P158">
        <v>190.63641000000001</v>
      </c>
      <c r="Q158">
        <v>16.143586429999999</v>
      </c>
      <c r="R158" s="4">
        <f>B158*_xlfn.XLOOKUP("Cement",Emission_Factors!$A$2:$A$13,Emission_Factors!$C$2:$C$13)+C158*_xlfn.XLOOKUP("Slag",Emission_Factors!$A$2:$A$13,Emission_Factors!$C$2:$C$13)+D158*_xlfn.XLOOKUP("Silica_Fume",Emission_Factors!$A$2:$A$13,Emission_Factors!$C$2:$C$13)+E158*_xlfn.XLOOKUP("Limestone_Powder",Emission_Factors!$A$2:$A$13,Emission_Factors!$C$2:$C$13)+F158*_xlfn.XLOOKUP("Quartz_Powder",Emission_Factors!$A$2:$A$13,Emission_Factors!$C$2:$C$13)+G158*_xlfn.XLOOKUP("Fly_Ash",Emission_Factors!$A$2:$A$13,Emission_Factors!$C$2:$C$13)+H158*_xlfn.XLOOKUP("Nano_Silica",Emission_Factors!$A$2:$A$13,Emission_Factors!$C$2:$C$13)+I158*_xlfn.XLOOKUP("Aggregate",Emission_Factors!$A$2:$A$13,Emission_Factors!$C$2:$C$13)+J158*_xlfn.XLOOKUP("Water",Emission_Factors!$A$2:$A$13,Emission_Factors!$C$2:$C$13)+K158*_xlfn.XLOOKUP("Fiber_Virgin",Emission_Factors!$A$2:$A$13,Emission_Factors!$C$2:$C$13)+L158*_xlfn.XLOOKUP("Superplasticizer",Emission_Factors!$A$2:$A$13,Emission_Factors!$C$2:$C$13)</f>
        <v>1150.9277200000001</v>
      </c>
      <c r="S158" s="4">
        <f>B158*_xlfn.XLOOKUP("Cement",Emission_Factors!$A$2:$A$13,Emission_Factors!$C$2:$C$13)+C158*_xlfn.XLOOKUP("Slag",Emission_Factors!$A$2:$A$13,Emission_Factors!$C$2:$C$13)+D158*_xlfn.XLOOKUP("Silica_Fume",Emission_Factors!$A$2:$A$13,Emission_Factors!$C$2:$C$13)+E158*_xlfn.XLOOKUP("Limestone_Powder",Emission_Factors!$A$2:$A$13,Emission_Factors!$C$2:$C$13)+F158*_xlfn.XLOOKUP("Quartz_Powder",Emission_Factors!$A$2:$A$13,Emission_Factors!$C$2:$C$13)+G158*_xlfn.XLOOKUP("Fly_Ash",Emission_Factors!$A$2:$A$13,Emission_Factors!$C$2:$C$13)+H158*_xlfn.XLOOKUP("Nano_Silica",Emission_Factors!$A$2:$A$13,Emission_Factors!$C$2:$C$13)+I158*_xlfn.XLOOKUP("Aggregate",Emission_Factors!$A$2:$A$13,Emission_Factors!$C$2:$C$13)+J158*_xlfn.XLOOKUP("Water",Emission_Factors!$A$2:$A$13,Emission_Factors!$C$2:$C$13)+K158*_xlfn.XLOOKUP("Fiber_Recycled",Emission_Factors!$A$2:$A$13,Emission_Factors!$C$2:$C$13)+L158*_xlfn.XLOOKUP("Superplasticizer",Emission_Factors!$A$2:$A$13,Emission_Factors!$C$2:$C$13)</f>
        <v>901.32772</v>
      </c>
    </row>
    <row r="159" spans="1:19" x14ac:dyDescent="0.25">
      <c r="A159">
        <v>782</v>
      </c>
      <c r="B159">
        <v>788.5</v>
      </c>
      <c r="C159">
        <v>0</v>
      </c>
      <c r="D159">
        <v>433.7</v>
      </c>
      <c r="E159">
        <v>0</v>
      </c>
      <c r="F159">
        <v>0</v>
      </c>
      <c r="G159">
        <v>0</v>
      </c>
      <c r="H159">
        <v>0</v>
      </c>
      <c r="I159">
        <v>867.4</v>
      </c>
      <c r="J159">
        <v>160.30000000000001</v>
      </c>
      <c r="K159">
        <v>78</v>
      </c>
      <c r="L159">
        <v>52.6</v>
      </c>
      <c r="M159">
        <v>23</v>
      </c>
      <c r="N159">
        <v>28</v>
      </c>
      <c r="O159">
        <v>208.4</v>
      </c>
      <c r="P159">
        <v>213.65654000000001</v>
      </c>
      <c r="Q159">
        <v>-5.2565399169999996</v>
      </c>
      <c r="R159" s="4">
        <f>B159*_xlfn.XLOOKUP("Cement",Emission_Factors!$A$2:$A$13,Emission_Factors!$C$2:$C$13)+C159*_xlfn.XLOOKUP("Slag",Emission_Factors!$A$2:$A$13,Emission_Factors!$C$2:$C$13)+D159*_xlfn.XLOOKUP("Silica_Fume",Emission_Factors!$A$2:$A$13,Emission_Factors!$C$2:$C$13)+E159*_xlfn.XLOOKUP("Limestone_Powder",Emission_Factors!$A$2:$A$13,Emission_Factors!$C$2:$C$13)+F159*_xlfn.XLOOKUP("Quartz_Powder",Emission_Factors!$A$2:$A$13,Emission_Factors!$C$2:$C$13)+G159*_xlfn.XLOOKUP("Fly_Ash",Emission_Factors!$A$2:$A$13,Emission_Factors!$C$2:$C$13)+H159*_xlfn.XLOOKUP("Nano_Silica",Emission_Factors!$A$2:$A$13,Emission_Factors!$C$2:$C$13)+I159*_xlfn.XLOOKUP("Aggregate",Emission_Factors!$A$2:$A$13,Emission_Factors!$C$2:$C$13)+J159*_xlfn.XLOOKUP("Water",Emission_Factors!$A$2:$A$13,Emission_Factors!$C$2:$C$13)+K159*_xlfn.XLOOKUP("Fiber_Virgin",Emission_Factors!$A$2:$A$13,Emission_Factors!$C$2:$C$13)+L159*_xlfn.XLOOKUP("Superplasticizer",Emission_Factors!$A$2:$A$13,Emission_Factors!$C$2:$C$13)</f>
        <v>909.54961879999996</v>
      </c>
      <c r="S159" s="4">
        <f>B159*_xlfn.XLOOKUP("Cement",Emission_Factors!$A$2:$A$13,Emission_Factors!$C$2:$C$13)+C159*_xlfn.XLOOKUP("Slag",Emission_Factors!$A$2:$A$13,Emission_Factors!$C$2:$C$13)+D159*_xlfn.XLOOKUP("Silica_Fume",Emission_Factors!$A$2:$A$13,Emission_Factors!$C$2:$C$13)+E159*_xlfn.XLOOKUP("Limestone_Powder",Emission_Factors!$A$2:$A$13,Emission_Factors!$C$2:$C$13)+F159*_xlfn.XLOOKUP("Quartz_Powder",Emission_Factors!$A$2:$A$13,Emission_Factors!$C$2:$C$13)+G159*_xlfn.XLOOKUP("Fly_Ash",Emission_Factors!$A$2:$A$13,Emission_Factors!$C$2:$C$13)+H159*_xlfn.XLOOKUP("Nano_Silica",Emission_Factors!$A$2:$A$13,Emission_Factors!$C$2:$C$13)+I159*_xlfn.XLOOKUP("Aggregate",Emission_Factors!$A$2:$A$13,Emission_Factors!$C$2:$C$13)+J159*_xlfn.XLOOKUP("Water",Emission_Factors!$A$2:$A$13,Emission_Factors!$C$2:$C$13)+K159*_xlfn.XLOOKUP("Fiber_Recycled",Emission_Factors!$A$2:$A$13,Emission_Factors!$C$2:$C$13)+L159*_xlfn.XLOOKUP("Superplasticizer",Emission_Factors!$A$2:$A$13,Emission_Factors!$C$2:$C$13)</f>
        <v>784.74961880000001</v>
      </c>
    </row>
    <row r="160" spans="1:19" x14ac:dyDescent="0.25">
      <c r="A160">
        <v>785</v>
      </c>
      <c r="B160">
        <v>788.5</v>
      </c>
      <c r="C160">
        <v>0</v>
      </c>
      <c r="D160">
        <v>433.7</v>
      </c>
      <c r="E160">
        <v>0</v>
      </c>
      <c r="F160">
        <v>0</v>
      </c>
      <c r="G160">
        <v>0</v>
      </c>
      <c r="H160">
        <v>0</v>
      </c>
      <c r="I160">
        <v>867.4</v>
      </c>
      <c r="J160">
        <v>160.30000000000001</v>
      </c>
      <c r="K160">
        <v>117</v>
      </c>
      <c r="L160">
        <v>52.6</v>
      </c>
      <c r="M160">
        <v>23</v>
      </c>
      <c r="N160">
        <v>28</v>
      </c>
      <c r="O160">
        <v>209.7</v>
      </c>
      <c r="P160">
        <v>218.0566</v>
      </c>
      <c r="Q160">
        <v>-8.3565948490000004</v>
      </c>
      <c r="R160" s="4">
        <f>B160*_xlfn.XLOOKUP("Cement",Emission_Factors!$A$2:$A$13,Emission_Factors!$C$2:$C$13)+C160*_xlfn.XLOOKUP("Slag",Emission_Factors!$A$2:$A$13,Emission_Factors!$C$2:$C$13)+D160*_xlfn.XLOOKUP("Silica_Fume",Emission_Factors!$A$2:$A$13,Emission_Factors!$C$2:$C$13)+E160*_xlfn.XLOOKUP("Limestone_Powder",Emission_Factors!$A$2:$A$13,Emission_Factors!$C$2:$C$13)+F160*_xlfn.XLOOKUP("Quartz_Powder",Emission_Factors!$A$2:$A$13,Emission_Factors!$C$2:$C$13)+G160*_xlfn.XLOOKUP("Fly_Ash",Emission_Factors!$A$2:$A$13,Emission_Factors!$C$2:$C$13)+H160*_xlfn.XLOOKUP("Nano_Silica",Emission_Factors!$A$2:$A$13,Emission_Factors!$C$2:$C$13)+I160*_xlfn.XLOOKUP("Aggregate",Emission_Factors!$A$2:$A$13,Emission_Factors!$C$2:$C$13)+J160*_xlfn.XLOOKUP("Water",Emission_Factors!$A$2:$A$13,Emission_Factors!$C$2:$C$13)+K160*_xlfn.XLOOKUP("Fiber_Virgin",Emission_Factors!$A$2:$A$13,Emission_Factors!$C$2:$C$13)+L160*_xlfn.XLOOKUP("Superplasticizer",Emission_Factors!$A$2:$A$13,Emission_Factors!$C$2:$C$13)</f>
        <v>1007.0496188</v>
      </c>
      <c r="S160" s="4">
        <f>B160*_xlfn.XLOOKUP("Cement",Emission_Factors!$A$2:$A$13,Emission_Factors!$C$2:$C$13)+C160*_xlfn.XLOOKUP("Slag",Emission_Factors!$A$2:$A$13,Emission_Factors!$C$2:$C$13)+D160*_xlfn.XLOOKUP("Silica_Fume",Emission_Factors!$A$2:$A$13,Emission_Factors!$C$2:$C$13)+E160*_xlfn.XLOOKUP("Limestone_Powder",Emission_Factors!$A$2:$A$13,Emission_Factors!$C$2:$C$13)+F160*_xlfn.XLOOKUP("Quartz_Powder",Emission_Factors!$A$2:$A$13,Emission_Factors!$C$2:$C$13)+G160*_xlfn.XLOOKUP("Fly_Ash",Emission_Factors!$A$2:$A$13,Emission_Factors!$C$2:$C$13)+H160*_xlfn.XLOOKUP("Nano_Silica",Emission_Factors!$A$2:$A$13,Emission_Factors!$C$2:$C$13)+I160*_xlfn.XLOOKUP("Aggregate",Emission_Factors!$A$2:$A$13,Emission_Factors!$C$2:$C$13)+J160*_xlfn.XLOOKUP("Water",Emission_Factors!$A$2:$A$13,Emission_Factors!$C$2:$C$13)+K160*_xlfn.XLOOKUP("Fiber_Recycled",Emission_Factors!$A$2:$A$13,Emission_Factors!$C$2:$C$13)+L160*_xlfn.XLOOKUP("Superplasticizer",Emission_Factors!$A$2:$A$13,Emission_Factors!$C$2:$C$13)</f>
        <v>819.84961879999992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4A63-3788-4EE7-AEDE-FB048D197256}">
  <dimension ref="A1:D13"/>
  <sheetViews>
    <sheetView tabSelected="1" workbookViewId="0">
      <selection activeCell="C8" sqref="C8"/>
    </sheetView>
  </sheetViews>
  <sheetFormatPr defaultRowHeight="15" x14ac:dyDescent="0.25"/>
  <cols>
    <col min="1" max="1" width="17.7109375" bestFit="1" customWidth="1"/>
    <col min="2" max="2" width="8.140625" bestFit="1" customWidth="1"/>
    <col min="3" max="3" width="12.28515625" bestFit="1" customWidth="1"/>
    <col min="4" max="4" width="9.7109375" bestFit="1" customWidth="1"/>
  </cols>
  <sheetData>
    <row r="1" spans="1:4" x14ac:dyDescent="0.25">
      <c r="A1" s="3" t="s">
        <v>19</v>
      </c>
      <c r="B1" s="3" t="s">
        <v>20</v>
      </c>
      <c r="C1" s="3" t="s">
        <v>21</v>
      </c>
      <c r="D1" s="3" t="s">
        <v>22</v>
      </c>
    </row>
    <row r="2" spans="1:4" x14ac:dyDescent="0.25">
      <c r="A2" s="1" t="s">
        <v>23</v>
      </c>
      <c r="B2" s="1" t="s">
        <v>24</v>
      </c>
      <c r="C2" s="2">
        <v>0.83</v>
      </c>
      <c r="D2" s="1" t="s">
        <v>25</v>
      </c>
    </row>
    <row r="3" spans="1:4" x14ac:dyDescent="0.25">
      <c r="A3" s="1" t="s">
        <v>26</v>
      </c>
      <c r="B3" s="1" t="s">
        <v>27</v>
      </c>
      <c r="C3" s="2">
        <v>5.1999999999999998E-2</v>
      </c>
      <c r="D3" s="1" t="s">
        <v>25</v>
      </c>
    </row>
    <row r="4" spans="1:4" x14ac:dyDescent="0.25">
      <c r="A4" s="1" t="s">
        <v>28</v>
      </c>
      <c r="B4" s="1" t="s">
        <v>29</v>
      </c>
      <c r="C4" s="2">
        <v>1.4E-2</v>
      </c>
      <c r="D4" s="1" t="s">
        <v>25</v>
      </c>
    </row>
    <row r="5" spans="1:4" x14ac:dyDescent="0.25">
      <c r="A5" s="1" t="s">
        <v>30</v>
      </c>
      <c r="B5" s="1" t="s">
        <v>31</v>
      </c>
      <c r="C5" s="2">
        <v>1.7000000000000001E-2</v>
      </c>
      <c r="D5" s="1" t="s">
        <v>25</v>
      </c>
    </row>
    <row r="6" spans="1:4" x14ac:dyDescent="0.25">
      <c r="A6" s="1" t="s">
        <v>32</v>
      </c>
      <c r="B6" s="1" t="s">
        <v>33</v>
      </c>
      <c r="C6" s="2">
        <v>2.3699999999999999E-2</v>
      </c>
      <c r="D6" s="1" t="s">
        <v>25</v>
      </c>
    </row>
    <row r="7" spans="1:4" x14ac:dyDescent="0.25">
      <c r="A7" s="1" t="s">
        <v>34</v>
      </c>
      <c r="B7" s="1" t="s">
        <v>35</v>
      </c>
      <c r="C7" s="2">
        <v>8.9999999999999993E-3</v>
      </c>
      <c r="D7" s="1" t="s">
        <v>25</v>
      </c>
    </row>
    <row r="8" spans="1:4" x14ac:dyDescent="0.25">
      <c r="A8" s="1" t="s">
        <v>36</v>
      </c>
      <c r="B8" s="1" t="s">
        <v>37</v>
      </c>
      <c r="C8" s="2">
        <v>1.5</v>
      </c>
      <c r="D8" s="1" t="s">
        <v>25</v>
      </c>
    </row>
    <row r="9" spans="1:4" x14ac:dyDescent="0.25">
      <c r="A9" s="1" t="s">
        <v>38</v>
      </c>
      <c r="B9" s="1" t="s">
        <v>39</v>
      </c>
      <c r="C9" s="2">
        <v>5.0000000000000001E-3</v>
      </c>
      <c r="D9" s="1" t="s">
        <v>25</v>
      </c>
    </row>
    <row r="10" spans="1:4" x14ac:dyDescent="0.25">
      <c r="A10" s="1" t="s">
        <v>40</v>
      </c>
      <c r="B10" s="1" t="s">
        <v>41</v>
      </c>
      <c r="C10" s="2">
        <v>1.9599999999999999E-4</v>
      </c>
      <c r="D10" s="1" t="s">
        <v>25</v>
      </c>
    </row>
    <row r="11" spans="1:4" x14ac:dyDescent="0.25">
      <c r="A11" s="1" t="s">
        <v>42</v>
      </c>
      <c r="B11" s="1" t="s">
        <v>43</v>
      </c>
      <c r="C11" s="2">
        <v>2.5</v>
      </c>
      <c r="D11" s="1" t="s">
        <v>25</v>
      </c>
    </row>
    <row r="12" spans="1:4" x14ac:dyDescent="0.25">
      <c r="A12" s="1" t="s">
        <v>44</v>
      </c>
      <c r="B12" s="1" t="s">
        <v>43</v>
      </c>
      <c r="C12" s="2">
        <v>0.9</v>
      </c>
      <c r="D12" s="1" t="s">
        <v>25</v>
      </c>
    </row>
    <row r="13" spans="1:4" x14ac:dyDescent="0.25">
      <c r="A13" s="1" t="s">
        <v>45</v>
      </c>
      <c r="B13" s="1" t="s">
        <v>46</v>
      </c>
      <c r="C13" s="2">
        <v>0.94399999999999995</v>
      </c>
      <c r="D1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test_with_predictions_with_emis</vt:lpstr>
      <vt:lpstr>Emission_Factors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 Flowers</cp:lastModifiedBy>
  <dcterms:created xsi:type="dcterms:W3CDTF">2026-05-11T23:32:42Z</dcterms:created>
  <dcterms:modified xsi:type="dcterms:W3CDTF">2026-05-11T23:39:11Z</dcterms:modified>
</cp:coreProperties>
</file>